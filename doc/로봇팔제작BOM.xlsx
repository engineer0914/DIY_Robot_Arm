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[비교과]24년 가을 로봇팔\자료\"/>
    </mc:Choice>
  </mc:AlternateContent>
  <bookViews>
    <workbookView xWindow="0" yWindow="0" windowWidth="17370" windowHeight="9495"/>
  </bookViews>
  <sheets>
    <sheet name="원본" sheetId="1" r:id="rId1"/>
    <sheet name="10단위 올림표" sheetId="3" r:id="rId2"/>
    <sheet name="25년 가을 비교과 부품" sheetId="5" r:id="rId3"/>
  </sheets>
  <definedNames>
    <definedName name="_xlnm._FilterDatabase" localSheetId="1" hidden="1">'10단위 올림표'!$A$23:$H$169</definedName>
    <definedName name="_xlnm._FilterDatabase" localSheetId="0" hidden="1">원본!$A$23:$H$169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5" l="1"/>
  <c r="F33" i="5" l="1"/>
  <c r="F32" i="5"/>
  <c r="F31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F26" i="5" s="1"/>
  <c r="K26" i="5" s="1"/>
  <c r="E27" i="5"/>
  <c r="E28" i="5"/>
  <c r="E29" i="5"/>
  <c r="E31" i="5"/>
  <c r="E32" i="5"/>
  <c r="E33" i="5"/>
  <c r="E37" i="5"/>
  <c r="F37" i="5" s="1"/>
  <c r="K37" i="5" s="1"/>
  <c r="E38" i="5"/>
  <c r="E39" i="5"/>
  <c r="E40" i="5"/>
  <c r="E41" i="5"/>
  <c r="F41" i="5" s="1"/>
  <c r="K41" i="5" s="1"/>
  <c r="E42" i="5"/>
  <c r="E43" i="5"/>
  <c r="F43" i="5" s="1"/>
  <c r="K43" i="5" s="1"/>
  <c r="E44" i="5"/>
  <c r="E45" i="5"/>
  <c r="E46" i="5"/>
  <c r="E47" i="5"/>
  <c r="E48" i="5"/>
  <c r="E49" i="5"/>
  <c r="E50" i="5"/>
  <c r="F50" i="5" s="1"/>
  <c r="K50" i="5" s="1"/>
  <c r="E51" i="5"/>
  <c r="K32" i="5"/>
  <c r="K33" i="5"/>
  <c r="K45" i="5"/>
  <c r="K46" i="5"/>
  <c r="K47" i="5"/>
  <c r="K48" i="5"/>
  <c r="K49" i="5"/>
  <c r="K51" i="5"/>
  <c r="J31" i="5"/>
  <c r="J32" i="5"/>
  <c r="J33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K31" i="5"/>
  <c r="F44" i="5"/>
  <c r="K44" i="5" s="1"/>
  <c r="F38" i="5"/>
  <c r="K38" i="5" s="1"/>
  <c r="F39" i="5"/>
  <c r="K39" i="5" s="1"/>
  <c r="F40" i="5"/>
  <c r="K40" i="5" s="1"/>
  <c r="F42" i="5"/>
  <c r="K42" i="5" s="1"/>
  <c r="J27" i="5"/>
  <c r="F27" i="5"/>
  <c r="K27" i="5" s="1"/>
  <c r="J26" i="5"/>
  <c r="J25" i="5"/>
  <c r="F25" i="5"/>
  <c r="K25" i="5" s="1"/>
  <c r="J24" i="5"/>
  <c r="F24" i="5"/>
  <c r="K24" i="5" s="1"/>
  <c r="J23" i="5"/>
  <c r="F23" i="5"/>
  <c r="K23" i="5" s="1"/>
  <c r="K22" i="5"/>
  <c r="J22" i="5"/>
  <c r="K21" i="5"/>
  <c r="J21" i="5"/>
  <c r="K20" i="5"/>
  <c r="J20" i="5"/>
  <c r="K19" i="5"/>
  <c r="J19" i="5"/>
  <c r="J18" i="5"/>
  <c r="F18" i="5"/>
  <c r="K18" i="5" s="1"/>
  <c r="J17" i="5"/>
  <c r="F17" i="5"/>
  <c r="K17" i="5" s="1"/>
  <c r="J16" i="5"/>
  <c r="F16" i="5"/>
  <c r="K16" i="5" s="1"/>
  <c r="J15" i="5"/>
  <c r="F15" i="5"/>
  <c r="K15" i="5" s="1"/>
  <c r="J13" i="5"/>
  <c r="F13" i="5"/>
  <c r="K13" i="5" s="1"/>
  <c r="J12" i="5"/>
  <c r="F12" i="5"/>
  <c r="K12" i="5" s="1"/>
  <c r="J10" i="5"/>
  <c r="F10" i="5"/>
  <c r="K10" i="5" s="1"/>
  <c r="J9" i="5"/>
  <c r="F9" i="5"/>
  <c r="K9" i="5" s="1"/>
  <c r="J7" i="5"/>
  <c r="F7" i="5"/>
  <c r="K7" i="5" s="1"/>
  <c r="J6" i="5"/>
  <c r="F6" i="5"/>
  <c r="K6" i="5" s="1"/>
  <c r="J5" i="5"/>
  <c r="F5" i="5"/>
  <c r="K5" i="5" s="1"/>
  <c r="J4" i="5"/>
  <c r="F4" i="5"/>
  <c r="K4" i="5" s="1"/>
  <c r="J3" i="5"/>
  <c r="E3" i="5"/>
  <c r="F3" i="5" s="1"/>
  <c r="K3" i="5" s="1"/>
</calcChain>
</file>

<file path=xl/sharedStrings.xml><?xml version="1.0" encoding="utf-8"?>
<sst xmlns="http://schemas.openxmlformats.org/spreadsheetml/2006/main" count="414" uniqueCount="155">
  <si>
    <t>품명</t>
    <phoneticPr fontId="1" type="noConversion"/>
  </si>
  <si>
    <t>규격</t>
    <phoneticPr fontId="1" type="noConversion"/>
  </si>
  <si>
    <t>수량</t>
    <phoneticPr fontId="1" type="noConversion"/>
  </si>
  <si>
    <t xml:space="preserve">스텝모터 </t>
    <phoneticPr fontId="1" type="noConversion"/>
  </si>
  <si>
    <t>NEMA17</t>
    <phoneticPr fontId="1" type="noConversion"/>
  </si>
  <si>
    <t>아두이노</t>
    <phoneticPr fontId="1" type="noConversion"/>
  </si>
  <si>
    <t>모터 드라이브</t>
    <phoneticPr fontId="1" type="noConversion"/>
  </si>
  <si>
    <t>A4988</t>
    <phoneticPr fontId="1" type="noConversion"/>
  </si>
  <si>
    <t>드라이브 보드</t>
    <phoneticPr fontId="1" type="noConversion"/>
  </si>
  <si>
    <t>A4988 쉴드 보드</t>
    <phoneticPr fontId="1" type="noConversion"/>
  </si>
  <si>
    <t>베어링</t>
    <phoneticPr fontId="1" type="noConversion"/>
  </si>
  <si>
    <t>https://www.11st.co.kr/products/2475047432?NaPm=ct=l75roit4|ci=f932db0520310e3065b7ae57756678b3c8c51ea6|tr=slct|sn=17703|hk=cb1d047cef103bcc1c7613dbf667e2ce9bfb09c4&amp;utm_term=&amp;utm_campaign=%B3%D7%C0%CC%B9%F6pc_%B0%A1%B0%DD%BA%F1%B1%B3%B1%E2%BA%BB&amp;utm_source=%B3%D7%C0%CC%B9%F6_PC_PCS&amp;utm_medium=%B0%A1%B0%DD%BA%F1%B1%B3</t>
    <phoneticPr fontId="1" type="noConversion"/>
  </si>
  <si>
    <t>https://smartstore.naver.com/boltoutlet/products/3510200845</t>
    <phoneticPr fontId="1" type="noConversion"/>
  </si>
  <si>
    <t>https://www.devicemart.co.kr/goods/view?no=1327610</t>
  </si>
  <si>
    <t>https://www.devicemart.co.kr/goods/view?no=1361492</t>
  </si>
  <si>
    <t>https://smartstore.naver.com/boltoutlet/products/3567551552</t>
    <phoneticPr fontId="1" type="noConversion"/>
  </si>
  <si>
    <t>624ZZ(4-13-5)</t>
    <phoneticPr fontId="1" type="noConversion"/>
  </si>
  <si>
    <t>695ZZ(5-13-4)</t>
    <phoneticPr fontId="1" type="noConversion"/>
  </si>
  <si>
    <t>51105(25-42-11)</t>
    <phoneticPr fontId="1" type="noConversion"/>
  </si>
  <si>
    <t>https://smartstore.naver.com/allbearing/products/443034914</t>
    <phoneticPr fontId="1" type="noConversion"/>
  </si>
  <si>
    <t>링크</t>
    <phoneticPr fontId="1" type="noConversion"/>
  </si>
  <si>
    <t>볼트</t>
    <phoneticPr fontId="1" type="noConversion"/>
  </si>
  <si>
    <t>와셔(스텐)</t>
    <phoneticPr fontId="1" type="noConversion"/>
  </si>
  <si>
    <t>M5</t>
    <phoneticPr fontId="1" type="noConversion"/>
  </si>
  <si>
    <t>M4</t>
    <phoneticPr fontId="1" type="noConversion"/>
  </si>
  <si>
    <t>M3</t>
    <phoneticPr fontId="1" type="noConversion"/>
  </si>
  <si>
    <t>볼트(스텐)</t>
    <phoneticPr fontId="1" type="noConversion"/>
  </si>
  <si>
    <t>너트(스텐)</t>
    <phoneticPr fontId="1" type="noConversion"/>
  </si>
  <si>
    <t>https://smartstore.naver.com/allbearing/products/415759727</t>
    <phoneticPr fontId="1" type="noConversion"/>
  </si>
  <si>
    <t>100:1set</t>
    <phoneticPr fontId="1" type="noConversion"/>
  </si>
  <si>
    <t>50:1set</t>
    <phoneticPr fontId="1" type="noConversion"/>
  </si>
  <si>
    <t>20:1set</t>
    <phoneticPr fontId="1" type="noConversion"/>
  </si>
  <si>
    <t>5:1set</t>
    <phoneticPr fontId="1" type="noConversion"/>
  </si>
  <si>
    <t>-</t>
    <phoneticPr fontId="1" type="noConversion"/>
  </si>
  <si>
    <t>배송비</t>
    <phoneticPr fontId="1" type="noConversion"/>
  </si>
  <si>
    <t>디바이스마트</t>
    <phoneticPr fontId="1" type="noConversion"/>
  </si>
  <si>
    <t>https://smartstore.naver.com/boltoutlet/products/3678003117</t>
    <phoneticPr fontId="1" type="noConversion"/>
  </si>
  <si>
    <t>점퍼캡</t>
    <phoneticPr fontId="1" type="noConversion"/>
  </si>
  <si>
    <t>https://www.devicemart.co.kr/goods/view?no=1077104</t>
    <phoneticPr fontId="1" type="noConversion"/>
  </si>
  <si>
    <t>파워서플라이</t>
    <phoneticPr fontId="1" type="noConversion"/>
  </si>
  <si>
    <t>12V</t>
    <phoneticPr fontId="1" type="noConversion"/>
  </si>
  <si>
    <t>배럴잭</t>
    <phoneticPr fontId="1" type="noConversion"/>
  </si>
  <si>
    <t>핀헤더</t>
    <phoneticPr fontId="1" type="noConversion"/>
  </si>
  <si>
    <t>https://www.devicemart.co.kr/goods/view?no=1065012</t>
    <phoneticPr fontId="1" type="noConversion"/>
  </si>
  <si>
    <t>https://www.devicemart.co.kr/goods/view?no=20009</t>
    <phoneticPr fontId="1" type="noConversion"/>
  </si>
  <si>
    <t>40:1set</t>
    <phoneticPr fontId="1" type="noConversion"/>
  </si>
  <si>
    <t>링크_암</t>
  </si>
  <si>
    <t>링크_붐</t>
  </si>
  <si>
    <t>기어_붐암</t>
  </si>
  <si>
    <t>기어_바디</t>
  </si>
  <si>
    <t>바디_접지링</t>
  </si>
  <si>
    <t>바디_그라운드</t>
  </si>
  <si>
    <t>바디_메인바디</t>
  </si>
  <si>
    <t>바디_지지대</t>
  </si>
  <si>
    <t>바디_프론트가드</t>
  </si>
  <si>
    <t>바디_비하인드가드</t>
  </si>
  <si>
    <t>링크_엔드이펙터컨트롤</t>
  </si>
  <si>
    <t>링크_암컨트롤</t>
  </si>
  <si>
    <t>바디_엔드이펙터</t>
  </si>
  <si>
    <t>바디_암</t>
  </si>
  <si>
    <t>바디_붐</t>
  </si>
  <si>
    <t>프린트</t>
    <phoneticPr fontId="1" type="noConversion"/>
  </si>
  <si>
    <t>세트</t>
    <phoneticPr fontId="1" type="noConversion"/>
  </si>
  <si>
    <t>M4-대형 15</t>
    <phoneticPr fontId="1" type="noConversion"/>
  </si>
  <si>
    <t>M5-대형 15</t>
    <phoneticPr fontId="1" type="noConversion"/>
  </si>
  <si>
    <t>https://www.devicemart.co.kr/goods/view?no=21792</t>
  </si>
  <si>
    <t>무두 8</t>
    <phoneticPr fontId="1" type="noConversion"/>
  </si>
  <si>
    <t>https://www.devicemart.co.kr/goods/view?no=1241387</t>
    <phoneticPr fontId="1" type="noConversion"/>
  </si>
  <si>
    <t>https://smartstore.naver.com/boltoutlet/products/6990469009</t>
    <phoneticPr fontId="1" type="noConversion"/>
  </si>
  <si>
    <t>https://smartstore.naver.com/boltoutlet/products/3900520395</t>
    <phoneticPr fontId="1" type="noConversion"/>
  </si>
  <si>
    <t>https://smartstore.naver.com/boltoutlet/products/7063871164</t>
    <phoneticPr fontId="1" type="noConversion"/>
  </si>
  <si>
    <t>https://smartstore.naver.com/boltoutlet/products/4410669973</t>
    <phoneticPr fontId="1" type="noConversion"/>
  </si>
  <si>
    <t>육각 30</t>
    <phoneticPr fontId="1" type="noConversion"/>
  </si>
  <si>
    <t>선기어</t>
  </si>
  <si>
    <t>케이지</t>
  </si>
  <si>
    <t>페이스</t>
  </si>
  <si>
    <t>플래닛기어</t>
  </si>
  <si>
    <t>푸시락 버튼</t>
    <phoneticPr fontId="1" type="noConversion"/>
  </si>
  <si>
    <t>8버튼</t>
    <phoneticPr fontId="1" type="noConversion"/>
  </si>
  <si>
    <t>MEGA</t>
    <phoneticPr fontId="1" type="noConversion"/>
  </si>
  <si>
    <t>전선</t>
    <phoneticPr fontId="1" type="noConversion"/>
  </si>
  <si>
    <t>https://www.devicemart.co.kr/goods/view?no=10826175</t>
    <phoneticPr fontId="1" type="noConversion"/>
  </si>
  <si>
    <t>https://www.devicemart.co.kr/goods/view?no=1384067</t>
    <phoneticPr fontId="1" type="noConversion"/>
  </si>
  <si>
    <t>https://www.devicemart.co.kr/goods/view?no=1321195</t>
    <phoneticPr fontId="1" type="noConversion"/>
  </si>
  <si>
    <t>683ZZ</t>
    <phoneticPr fontId="1" type="noConversion"/>
  </si>
  <si>
    <t>F695ZZ</t>
    <phoneticPr fontId="1" type="noConversion"/>
  </si>
  <si>
    <t>가이드</t>
    <phoneticPr fontId="1" type="noConversion"/>
  </si>
  <si>
    <t>암수</t>
    <phoneticPr fontId="1" type="noConversion"/>
  </si>
  <si>
    <t>기어_모터_너트(2개 여분)</t>
    <phoneticPr fontId="1" type="noConversion"/>
  </si>
  <si>
    <t>10가닥</t>
    <phoneticPr fontId="1" type="noConversion"/>
  </si>
  <si>
    <t>5(필수3개+여유분2개)</t>
    <phoneticPr fontId="1" type="noConversion"/>
  </si>
  <si>
    <t>표기된 가격</t>
    <phoneticPr fontId="1" type="noConversion"/>
  </si>
  <si>
    <t>https://www.devicemart.co.kr/goods/view?no=34405</t>
  </si>
  <si>
    <t>40:1set(가닥)</t>
    <phoneticPr fontId="1" type="noConversion"/>
  </si>
  <si>
    <t>M3(mm)</t>
    <phoneticPr fontId="1" type="noConversion"/>
  </si>
  <si>
    <t>M3 나일론</t>
    <phoneticPr fontId="1" type="noConversion"/>
  </si>
  <si>
    <t>M5 나일론</t>
    <phoneticPr fontId="1" type="noConversion"/>
  </si>
  <si>
    <t>13(가닥)</t>
    <phoneticPr fontId="1" type="noConversion"/>
  </si>
  <si>
    <t>몇 개 남은가</t>
    <phoneticPr fontId="1" type="noConversion"/>
  </si>
  <si>
    <t>필수 부품인가</t>
    <phoneticPr fontId="1" type="noConversion"/>
  </si>
  <si>
    <t>아두이노 선</t>
    <phoneticPr fontId="1" type="noConversion"/>
  </si>
  <si>
    <t>USB B</t>
    <phoneticPr fontId="1" type="noConversion"/>
  </si>
  <si>
    <t>https://www.devicemart.co.kr/goods/view?no=1330154</t>
  </si>
  <si>
    <t>서보모터</t>
    <phoneticPr fontId="1" type="noConversion"/>
  </si>
  <si>
    <t>해외여부</t>
    <phoneticPr fontId="1" type="noConversion"/>
  </si>
  <si>
    <t>총액</t>
    <phoneticPr fontId="1" type="noConversion"/>
  </si>
  <si>
    <t>활성화</t>
    <phoneticPr fontId="1" type="noConversion"/>
  </si>
  <si>
    <t>https://www.devicemart.co.kr/goods/view?no=21792</t>
    <phoneticPr fontId="1" type="noConversion"/>
  </si>
  <si>
    <t>수수</t>
    <phoneticPr fontId="1" type="noConversion"/>
  </si>
  <si>
    <t>https://www.devicemart.co.kr/goods/view?no=1321196</t>
    <phoneticPr fontId="1" type="noConversion"/>
  </si>
  <si>
    <t>상한가</t>
    <phoneticPr fontId="1" type="noConversion"/>
  </si>
  <si>
    <t>비고</t>
    <phoneticPr fontId="1" type="noConversion"/>
  </si>
  <si>
    <t>5세트시 낱개</t>
    <phoneticPr fontId="1" type="noConversion"/>
  </si>
  <si>
    <t>최종 구매 개수</t>
    <phoneticPr fontId="1" type="noConversion"/>
  </si>
  <si>
    <t>부가세포함 1개 가격</t>
    <phoneticPr fontId="1" type="noConversion"/>
  </si>
  <si>
    <t>합산 금액</t>
    <phoneticPr fontId="1" type="noConversion"/>
  </si>
  <si>
    <t>https://www.devicemart.co.kr/goods/view?no=10913620&amp;srsltid=AfmBOoqWH1dDdhGe9hFmkxTwymQLHjWAs-a83WUFWU0NUNjEDM87ejYe</t>
  </si>
  <si>
    <t>https://www.devicemart.co.kr/goods/view?no=34295&amp;srsltid=AfmBOoouElzE4QsVmQsKkr_apT403KWC-CQD7zCN_PkUcjX1xNqTO73L</t>
    <phoneticPr fontId="1" type="noConversion"/>
  </si>
  <si>
    <t>https://www.devicemart.co.kr/goods/view?no=10915194&amp;srsltid=AfmBOordKd8m1eCceBwjRxeseFMLGKcC87pgZ6BX5oaptkkAqGH7ealP</t>
  </si>
  <si>
    <t>https://www.devicemart.co.kr/goods/view?no=10913623&amp;srsltid=AfmBOopDh2L6p61thKohLRDaXVfZNj6n_O8-GFfAqawhkt_FEAh6VWyI</t>
    <phoneticPr fontId="1" type="noConversion"/>
  </si>
  <si>
    <t>https://www.devicemart.co.kr/goods/view?no=34536&amp;srsltid=AfmBOooWDjNddZXypBpg7QS6odHfuFmZSOvBWkApX3AuyHpoHwWK1hqX</t>
    <phoneticPr fontId="1" type="noConversion"/>
  </si>
  <si>
    <t>https://www.devicemart.co.kr/goods/view?no=34496&amp;srsltid=AfmBOooLz_sWhh3gbWftM8UQp4X8U7NRUhyh1iimDk3DKb2ORYaEMDJP</t>
    <phoneticPr fontId="1" type="noConversion"/>
  </si>
  <si>
    <t>https://www.devicemart.co.kr/goods/view?no=34537&amp;srsltid=AfmBOooVrMHs8uBIoUCTe1tK-jL8vqUhHZPfVmRGL7oN5S_nibmKJi6X</t>
  </si>
  <si>
    <t>https://www.devicemart.co.kr/goods/view?no=10915237&amp;srsltid=AfmBOor19Mx4ISqItJZBPwDEnqN2BDhEdWpmP1lC9VUoxq5D_pwcjoaw</t>
    <phoneticPr fontId="1" type="noConversion"/>
  </si>
  <si>
    <t>https://www.devicemart.co.kr/goods/view?no=10913873&amp;srsltid=AfmBOop24cXMVMBGEYg49spBxSSiZvRLVB3hnVvPLZqWc7O_Bk8vK7mp</t>
    <phoneticPr fontId="1" type="noConversion"/>
  </si>
  <si>
    <t>https://www.devicemart.co.kr/goods/view?no=34324&amp;srsltid=AfmBOorMBsF2LjrqM7_nezF35hQelIcN-rSWGNb9ydlJTy9ROWfugvfv</t>
  </si>
  <si>
    <t>https://www.devicemart.co.kr/goods/view?no=10893597&amp;srsltid=AfmBOopYFVbhfgb1v--Kj5ry65j_wOysQu1y9297bRl63ihQSDuYG5z0</t>
  </si>
  <si>
    <t>https://www.devicemart.co.kr/goods/view?no=34328&amp;srsltid=AfmBOoq1YSMCEOZ-wN0LH-3BAq2CkTBs5dGsd7p1Rr8LEL2nv1XTjM_p</t>
  </si>
  <si>
    <t>https://www.devicemart.co.kr/goods/view?no=34330&amp;srsltid=AfmBOoqGIi7qA3ehLnysTR-hvy4IReOhOT1-zBNE49jwFz4yB6OqCCxE</t>
  </si>
  <si>
    <t>https://www.devicemart.co.kr/goods/view?no=1278300&amp;srsltid=AfmBOoqOUGIxF2rSp7v5pqirfSRYlJnsC6ehCiyI2XBwU9CoFcL3bSx7</t>
  </si>
  <si>
    <t>https://www.devicemart.co.kr/goods/view?no=1241341&amp;srsltid=AfmBOorWTEsRbgO98lyCmINGW0wxbmI2AnzciudqVWPtd89xsGZtQKwl</t>
  </si>
  <si>
    <t>https://www.devicemart.co.kr/goods/view?no=1241334</t>
  </si>
  <si>
    <t>https://www.devicemart.co.kr/goods/view?no=1241322&amp;srsltid=AfmBOopmxVYzGDBE8CCPE9HauJgvdJ62TZRj83HuzUzhFtESrYxzAzEb</t>
    <phoneticPr fontId="1" type="noConversion"/>
  </si>
  <si>
    <t>https://www.devicemart.co.kr/goods/view?no=1063725</t>
  </si>
  <si>
    <t>https://www.devicemart.co.kr/goods/view?no=34405</t>
    <phoneticPr fontId="1" type="noConversion"/>
  </si>
  <si>
    <t>https://www.devicemart.co.kr/goods/view?no=1327610</t>
    <phoneticPr fontId="1" type="noConversion"/>
  </si>
  <si>
    <t>너트 (SCM or 스텐)</t>
    <phoneticPr fontId="1" type="noConversion"/>
  </si>
  <si>
    <t>볼트 (SCM or 스텐)</t>
    <phoneticPr fontId="1" type="noConversion"/>
  </si>
  <si>
    <t>스텝모터 연결선 여분</t>
    <phoneticPr fontId="1" type="noConversion"/>
  </si>
  <si>
    <t>https://www.devicemart.co.kr/goods/view?no=10893116</t>
    <phoneticPr fontId="1" type="noConversion"/>
  </si>
  <si>
    <t>아두이노 USB 선</t>
    <phoneticPr fontId="1" type="noConversion"/>
  </si>
  <si>
    <t>mg90</t>
    <phoneticPr fontId="1" type="noConversion"/>
  </si>
  <si>
    <t>https://www.devicemart.co.kr/goods/view?no=1313389</t>
    <phoneticPr fontId="1" type="noConversion"/>
  </si>
  <si>
    <t>암암</t>
    <phoneticPr fontId="1" type="noConversion"/>
  </si>
  <si>
    <t>https://www.devicemart.co.kr/goods/view?no=1321192</t>
    <phoneticPr fontId="1" type="noConversion"/>
  </si>
  <si>
    <t>롱노우즈</t>
    <phoneticPr fontId="1" type="noConversion"/>
  </si>
  <si>
    <t>https://www.devicemart.co.kr/goods/view?no=10991277</t>
    <phoneticPr fontId="1" type="noConversion"/>
  </si>
  <si>
    <t>볼렌치</t>
    <phoneticPr fontId="1" type="noConversion"/>
  </si>
  <si>
    <t>전동 드라이버</t>
    <phoneticPr fontId="1" type="noConversion"/>
  </si>
  <si>
    <t>https://www.devicemart.co.kr/goods/view?no=15018718</t>
    <phoneticPr fontId="1" type="noConversion"/>
  </si>
  <si>
    <t>공구</t>
    <phoneticPr fontId="1" type="noConversion"/>
  </si>
  <si>
    <t>와셔 (SCM or 스텐)</t>
    <phoneticPr fontId="1" type="noConversion"/>
  </si>
  <si>
    <t>https://www.devicemart.co.kr/goods/view?no=10991327</t>
  </si>
  <si>
    <t>육각 볼트 추가 배분 필요, 푸시락 버튼, 아두이노 쉴드</t>
    <phoneticPr fontId="1" type="noConversion"/>
  </si>
  <si>
    <t>https://www.devicemart.co.kr/goods/view?no=1330154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</si>
</sst>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);\(#,##0\)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1" applyBorder="1" applyAlignment="1">
      <alignment horizontal="fill"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0" fontId="2" fillId="0" borderId="0" xfId="1" applyBorder="1" applyAlignment="1">
      <alignment horizontal="left" vertical="center"/>
    </xf>
    <xf numFmtId="0" fontId="2" fillId="0" borderId="0" xfId="1" applyBorder="1" applyAlignment="1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/>
    </xf>
    <xf numFmtId="0" fontId="2" fillId="0" borderId="0" xfId="1" applyBorder="1" applyAlignment="1">
      <alignment horizontal="center"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0" borderId="0" xfId="1" applyBorder="1">
      <alignment vertical="center"/>
    </xf>
    <xf numFmtId="0" fontId="0" fillId="0" borderId="5" xfId="0" applyBorder="1">
      <alignment vertical="center"/>
    </xf>
    <xf numFmtId="0" fontId="0" fillId="0" borderId="0" xfId="0" applyAlignment="1">
      <alignment horizontal="right" vertical="center"/>
    </xf>
    <xf numFmtId="46" fontId="0" fillId="0" borderId="0" xfId="0" applyNumberForma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0" borderId="7" xfId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" fillId="3" borderId="0" xfId="1" applyFill="1" applyBorder="1" applyAlignment="1">
      <alignment horizontal="fill" vertical="center"/>
    </xf>
    <xf numFmtId="0" fontId="3" fillId="0" borderId="0" xfId="0" applyFont="1">
      <alignment vertical="center"/>
    </xf>
    <xf numFmtId="0" fontId="2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1" applyBorder="1" applyAlignment="1">
      <alignment horizontal="left" vertical="center"/>
    </xf>
    <xf numFmtId="0" fontId="2" fillId="0" borderId="0" xfId="1" applyBorder="1" applyAlignment="1">
      <alignment vertical="center"/>
    </xf>
    <xf numFmtId="0" fontId="2" fillId="0" borderId="0" xfId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1">
    <dxf>
      <fill>
        <patternFill>
          <bgColor rgb="FFEE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47626</xdr:colOff>
      <xdr:row>0</xdr:row>
      <xdr:rowOff>85725</xdr:rowOff>
    </xdr:from>
    <xdr:to>
      <xdr:col>13</xdr:col>
      <xdr:colOff>597912</xdr:colOff>
      <xdr:row>22</xdr:row>
      <xdr:rowOff>134709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0E31D1A-00A0-4057-440C-2A46F4CB4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8912" y="85725"/>
          <a:ext cx="5448857" cy="4566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martstore.naver.com/allbearing/products/415759727" TargetMode="External"/><Relationship Id="rId13" Type="http://schemas.openxmlformats.org/officeDocument/2006/relationships/hyperlink" Target="https://www.devicemart.co.kr/goods/view?no=10826175" TargetMode="External"/><Relationship Id="rId18" Type="http://schemas.openxmlformats.org/officeDocument/2006/relationships/hyperlink" Target="https://www.devicemart.co.kr/goods/view?no=1330154" TargetMode="External"/><Relationship Id="rId3" Type="http://schemas.openxmlformats.org/officeDocument/2006/relationships/hyperlink" Target="https://www.devicemart.co.kr/goods/view?no=1077104" TargetMode="External"/><Relationship Id="rId7" Type="http://schemas.openxmlformats.org/officeDocument/2006/relationships/hyperlink" Target="https://smartstore.naver.com/allbearing/products/443034914" TargetMode="External"/><Relationship Id="rId12" Type="http://schemas.openxmlformats.org/officeDocument/2006/relationships/hyperlink" Target="https://smartstore.naver.com/boltoutlet/products/3900520395" TargetMode="External"/><Relationship Id="rId17" Type="http://schemas.openxmlformats.org/officeDocument/2006/relationships/hyperlink" Target="https://smartstore.naver.com/boltoutlet/products/4410669973" TargetMode="External"/><Relationship Id="rId2" Type="http://schemas.openxmlformats.org/officeDocument/2006/relationships/hyperlink" Target="https://smartstore.naver.com/boltoutlet/products/3678003117" TargetMode="External"/><Relationship Id="rId16" Type="http://schemas.openxmlformats.org/officeDocument/2006/relationships/hyperlink" Target="https://smartstore.naver.com/boltoutlet/products/7063871164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https://www.11st.co.kr/products/2475047432?NaPm=ct=l75roit4|ci=f932db0520310e3065b7ae57756678b3c8c51ea6|tr=slct|sn=17703|hk=cb1d047cef103bcc1c7613dbf667e2ce9bfb09c4&amp;utm_term=&amp;utm_campaign=%B3%D7%C0%CC%B9%F6pc_%B0%A1%B0%DD%BA%F1%B1%B3%B1%E2%BA%BB&amp;utm_source=%B3%D7%C0%CC%B9%F6_PC_PCS&amp;utm_medium=%B0%A1%B0%DD%BA%F1%B1%B3" TargetMode="External"/><Relationship Id="rId6" Type="http://schemas.openxmlformats.org/officeDocument/2006/relationships/hyperlink" Target="https://smartstore.naver.com/boltoutlet/products/3510200845" TargetMode="External"/><Relationship Id="rId11" Type="http://schemas.openxmlformats.org/officeDocument/2006/relationships/hyperlink" Target="https://smartstore.naver.com/boltoutlet/products/6990469009" TargetMode="External"/><Relationship Id="rId5" Type="http://schemas.openxmlformats.org/officeDocument/2006/relationships/hyperlink" Target="https://www.devicemart.co.kr/goods/view?no=20009" TargetMode="External"/><Relationship Id="rId15" Type="http://schemas.openxmlformats.org/officeDocument/2006/relationships/hyperlink" Target="https://www.devicemart.co.kr/goods/view?no=1321195" TargetMode="External"/><Relationship Id="rId10" Type="http://schemas.openxmlformats.org/officeDocument/2006/relationships/hyperlink" Target="https://www.devicemart.co.kr/goods/view?no=1241387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devicemart.co.kr/goods/view?no=1065012" TargetMode="External"/><Relationship Id="rId9" Type="http://schemas.openxmlformats.org/officeDocument/2006/relationships/hyperlink" Target="https://smartstore.naver.com/boltoutlet/products/3567551552" TargetMode="External"/><Relationship Id="rId14" Type="http://schemas.openxmlformats.org/officeDocument/2006/relationships/hyperlink" Target="https://www.devicemart.co.kr/goods/view?no=138406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martstore.naver.com/boltoutlet/products/6990469009" TargetMode="External"/><Relationship Id="rId13" Type="http://schemas.openxmlformats.org/officeDocument/2006/relationships/hyperlink" Target="https://www.devicemart.co.kr/goods/view?no=1384067" TargetMode="External"/><Relationship Id="rId18" Type="http://schemas.openxmlformats.org/officeDocument/2006/relationships/hyperlink" Target="https://www.devicemart.co.kr/goods/view?no=21792" TargetMode="External"/><Relationship Id="rId3" Type="http://schemas.openxmlformats.org/officeDocument/2006/relationships/hyperlink" Target="https://smartstore.naver.com/boltoutlet/products/3510200845" TargetMode="External"/><Relationship Id="rId7" Type="http://schemas.openxmlformats.org/officeDocument/2006/relationships/hyperlink" Target="https://www.devicemart.co.kr/goods/view?no=1241387" TargetMode="External"/><Relationship Id="rId12" Type="http://schemas.openxmlformats.org/officeDocument/2006/relationships/hyperlink" Target="https://www.devicemart.co.kr/goods/view?no=1321195" TargetMode="External"/><Relationship Id="rId17" Type="http://schemas.openxmlformats.org/officeDocument/2006/relationships/hyperlink" Target="https://www.devicemart.co.kr/goods/view?no=1077104" TargetMode="External"/><Relationship Id="rId2" Type="http://schemas.openxmlformats.org/officeDocument/2006/relationships/hyperlink" Target="https://smartstore.naver.com/boltoutlet/products/3678003117" TargetMode="External"/><Relationship Id="rId16" Type="http://schemas.openxmlformats.org/officeDocument/2006/relationships/hyperlink" Target="https://www.devicemart.co.kr/goods/view?no=1065012" TargetMode="External"/><Relationship Id="rId1" Type="http://schemas.openxmlformats.org/officeDocument/2006/relationships/hyperlink" Target="https://www.11st.co.kr/products/2475047432?NaPm=ct=l75roit4|ci=f932db0520310e3065b7ae57756678b3c8c51ea6|tr=slct|sn=17703|hk=cb1d047cef103bcc1c7613dbf667e2ce9bfb09c4&amp;utm_term=&amp;utm_campaign=%B3%D7%C0%CC%B9%F6pc_%B0%A1%B0%DD%BA%F1%B1%B3%B1%E2%BA%BB&amp;utm_source=%B3%D7%C0%CC%B9%F6_PC_PCS&amp;utm_medium=%B0%A1%B0%DD%BA%F1%B1%B3" TargetMode="External"/><Relationship Id="rId6" Type="http://schemas.openxmlformats.org/officeDocument/2006/relationships/hyperlink" Target="https://smartstore.naver.com/boltoutlet/products/3567551552" TargetMode="External"/><Relationship Id="rId11" Type="http://schemas.openxmlformats.org/officeDocument/2006/relationships/hyperlink" Target="https://smartstore.naver.com/boltoutlet/products/4410669973" TargetMode="External"/><Relationship Id="rId5" Type="http://schemas.openxmlformats.org/officeDocument/2006/relationships/hyperlink" Target="https://smartstore.naver.com/allbearing/products/415759727" TargetMode="External"/><Relationship Id="rId15" Type="http://schemas.openxmlformats.org/officeDocument/2006/relationships/hyperlink" Target="https://www.devicemart.co.kr/goods/view?no=20009" TargetMode="External"/><Relationship Id="rId10" Type="http://schemas.openxmlformats.org/officeDocument/2006/relationships/hyperlink" Target="https://smartstore.naver.com/boltoutlet/products/7063871164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https://smartstore.naver.com/allbearing/products/443034914" TargetMode="External"/><Relationship Id="rId9" Type="http://schemas.openxmlformats.org/officeDocument/2006/relationships/hyperlink" Target="https://smartstore.naver.com/boltoutlet/products/3900520395" TargetMode="External"/><Relationship Id="rId14" Type="http://schemas.openxmlformats.org/officeDocument/2006/relationships/hyperlink" Target="https://www.devicemart.co.kr/goods/view?no=10826175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evicemart.co.kr/goods/view?no=10915237&amp;srsltid=AfmBOor19Mx4ISqItJZBPwDEnqN2BDhEdWpmP1lC9VUoxq5D_pwcjoaw" TargetMode="External"/><Relationship Id="rId13" Type="http://schemas.openxmlformats.org/officeDocument/2006/relationships/hyperlink" Target="https://www.11st.co.kr/products/2475047432?NaPm=ct=l75roit4|ci=f932db0520310e3065b7ae57756678b3c8c51ea6|tr=slct|sn=17703|hk=cb1d047cef103bcc1c7613dbf667e2ce9bfb09c4&amp;utm_term=&amp;utm_campaign=%B3%D7%C0%CC%B9%F6pc_%B0%A1%B0%DD%BA%F1%B1%B3%B1%E2%BA%BB&amp;utm_source=%B3%D7%C0%CC%B9%F6_PC_PCS&amp;utm_medium=%B0%A1%B0%DD%BA%F1%B1%B3" TargetMode="External"/><Relationship Id="rId18" Type="http://schemas.openxmlformats.org/officeDocument/2006/relationships/hyperlink" Target="https://www.devicemart.co.kr/goods/view?no=1384067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https://www.devicemart.co.kr/goods/view?no=1241387" TargetMode="External"/><Relationship Id="rId21" Type="http://schemas.openxmlformats.org/officeDocument/2006/relationships/hyperlink" Target="https://www.devicemart.co.kr/goods/view?no=1313389" TargetMode="External"/><Relationship Id="rId7" Type="http://schemas.openxmlformats.org/officeDocument/2006/relationships/hyperlink" Target="https://www.devicemart.co.kr/goods/view?no=34496&amp;srsltid=AfmBOooLz_sWhh3gbWftM8UQp4X8U7NRUhyh1iimDk3DKb2ORYaEMDJP" TargetMode="External"/><Relationship Id="rId12" Type="http://schemas.openxmlformats.org/officeDocument/2006/relationships/hyperlink" Target="https://www.devicemart.co.kr/goods/view?no=1065012" TargetMode="External"/><Relationship Id="rId17" Type="http://schemas.openxmlformats.org/officeDocument/2006/relationships/hyperlink" Target="https://www.devicemart.co.kr/goods/view?no=20009" TargetMode="External"/><Relationship Id="rId25" Type="http://schemas.openxmlformats.org/officeDocument/2006/relationships/hyperlink" Target="https://www.devicemart.co.kr/goods/view?no=15018718" TargetMode="External"/><Relationship Id="rId2" Type="http://schemas.openxmlformats.org/officeDocument/2006/relationships/hyperlink" Target="https://smartstore.naver.com/boltoutlet/products/3510200845" TargetMode="External"/><Relationship Id="rId16" Type="http://schemas.openxmlformats.org/officeDocument/2006/relationships/hyperlink" Target="https://www.devicemart.co.kr/goods/view?no=21792" TargetMode="External"/><Relationship Id="rId20" Type="http://schemas.openxmlformats.org/officeDocument/2006/relationships/hyperlink" Target="https://www.devicemart.co.kr/goods/view?no=10893116" TargetMode="External"/><Relationship Id="rId1" Type="http://schemas.openxmlformats.org/officeDocument/2006/relationships/hyperlink" Target="https://smartstore.naver.com/boltoutlet/products/3678003117" TargetMode="External"/><Relationship Id="rId6" Type="http://schemas.openxmlformats.org/officeDocument/2006/relationships/hyperlink" Target="https://www.devicemart.co.kr/goods/view?no=34295&amp;srsltid=AfmBOoouElzE4QsVmQsKkr_apT403KWC-CQD7zCN_PkUcjX1xNqTO73L" TargetMode="External"/><Relationship Id="rId11" Type="http://schemas.openxmlformats.org/officeDocument/2006/relationships/hyperlink" Target="https://www.devicemart.co.kr/goods/view?no=1077104" TargetMode="External"/><Relationship Id="rId24" Type="http://schemas.openxmlformats.org/officeDocument/2006/relationships/hyperlink" Target="https://www.devicemart.co.kr/goods/view?no=10991277" TargetMode="External"/><Relationship Id="rId5" Type="http://schemas.openxmlformats.org/officeDocument/2006/relationships/hyperlink" Target="https://www.devicemart.co.kr/goods/view?no=10913623&amp;srsltid=AfmBOopDh2L6p61thKohLRDaXVfZNj6n_O8-GFfAqawhkt_FEAh6VWyI" TargetMode="External"/><Relationship Id="rId15" Type="http://schemas.openxmlformats.org/officeDocument/2006/relationships/hyperlink" Target="https://www.devicemart.co.kr/goods/view?no=1327610" TargetMode="External"/><Relationship Id="rId23" Type="http://schemas.openxmlformats.org/officeDocument/2006/relationships/hyperlink" Target="https://www.devicemart.co.kr/goods/view?no=1321196" TargetMode="External"/><Relationship Id="rId10" Type="http://schemas.openxmlformats.org/officeDocument/2006/relationships/hyperlink" Target="https://www.devicemart.co.kr/goods/view?no=1241322&amp;srsltid=AfmBOopmxVYzGDBE8CCPE9HauJgvdJ62TZRj83HuzUzhFtESrYxzAzEb" TargetMode="External"/><Relationship Id="rId19" Type="http://schemas.openxmlformats.org/officeDocument/2006/relationships/hyperlink" Target="https://www.devicemart.co.kr/goods/view?no=1321195" TargetMode="External"/><Relationship Id="rId4" Type="http://schemas.openxmlformats.org/officeDocument/2006/relationships/hyperlink" Target="https://www.devicemart.co.kr/goods/view?no=34536&amp;srsltid=AfmBOooWDjNddZXypBpg7QS6odHfuFmZSOvBWkApX3AuyHpoHwWK1hqX" TargetMode="External"/><Relationship Id="rId9" Type="http://schemas.openxmlformats.org/officeDocument/2006/relationships/hyperlink" Target="https://www.devicemart.co.kr/goods/view?no=10913873&amp;srsltid=AfmBOop24cXMVMBGEYg49spBxSSiZvRLVB3hnVvPLZqWc7O_Bk8vK7mp" TargetMode="External"/><Relationship Id="rId14" Type="http://schemas.openxmlformats.org/officeDocument/2006/relationships/hyperlink" Target="https://www.devicemart.co.kr/goods/view?no=34405" TargetMode="External"/><Relationship Id="rId22" Type="http://schemas.openxmlformats.org/officeDocument/2006/relationships/hyperlink" Target="https://www.devicemart.co.kr/goods/view?no=13211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2"/>
  <sheetViews>
    <sheetView tabSelected="1" zoomScale="85" zoomScaleNormal="85" workbookViewId="0">
      <selection activeCell="L26" sqref="L26"/>
    </sheetView>
  </sheetViews>
  <sheetFormatPr defaultColWidth="10.625" defaultRowHeight="16.5" x14ac:dyDescent="0.3"/>
  <cols>
    <col min="1" max="1" width="13.125" customWidth="1"/>
    <col min="2" max="2" width="17.875" customWidth="1"/>
    <col min="4" max="4" width="18.25" customWidth="1"/>
    <col min="7" max="7" width="10.625" style="4"/>
  </cols>
  <sheetData>
    <row r="1" spans="1:7" x14ac:dyDescent="0.3">
      <c r="A1" s="1" t="s">
        <v>0</v>
      </c>
      <c r="B1" t="s">
        <v>1</v>
      </c>
      <c r="C1" t="s">
        <v>2</v>
      </c>
    </row>
    <row r="2" spans="1:7" x14ac:dyDescent="0.3">
      <c r="A2" s="11" t="s">
        <v>61</v>
      </c>
      <c r="B2" t="s">
        <v>50</v>
      </c>
      <c r="C2">
        <v>1</v>
      </c>
      <c r="D2" s="4"/>
      <c r="G2"/>
    </row>
    <row r="3" spans="1:7" x14ac:dyDescent="0.3">
      <c r="A3" s="11"/>
      <c r="B3" t="s">
        <v>51</v>
      </c>
      <c r="C3">
        <v>1</v>
      </c>
      <c r="D3" s="4"/>
      <c r="G3"/>
    </row>
    <row r="4" spans="1:7" x14ac:dyDescent="0.3">
      <c r="A4" s="11"/>
      <c r="B4" t="s">
        <v>52</v>
      </c>
      <c r="C4">
        <v>1</v>
      </c>
      <c r="D4" s="4"/>
      <c r="G4"/>
    </row>
    <row r="5" spans="1:7" x14ac:dyDescent="0.3">
      <c r="A5" s="11"/>
      <c r="B5" t="s">
        <v>53</v>
      </c>
      <c r="C5">
        <v>3</v>
      </c>
      <c r="D5" s="4"/>
      <c r="G5"/>
    </row>
    <row r="6" spans="1:7" x14ac:dyDescent="0.3">
      <c r="A6" s="11"/>
      <c r="B6" t="s">
        <v>54</v>
      </c>
      <c r="C6">
        <v>1</v>
      </c>
      <c r="D6" s="4"/>
      <c r="G6"/>
    </row>
    <row r="7" spans="1:7" x14ac:dyDescent="0.3">
      <c r="A7" s="11"/>
      <c r="B7" t="s">
        <v>55</v>
      </c>
      <c r="C7">
        <v>1</v>
      </c>
      <c r="D7" s="4"/>
      <c r="G7"/>
    </row>
    <row r="8" spans="1:7" x14ac:dyDescent="0.3">
      <c r="A8" s="11"/>
      <c r="B8" t="s">
        <v>58</v>
      </c>
      <c r="C8">
        <v>1</v>
      </c>
      <c r="D8" s="4"/>
      <c r="G8"/>
    </row>
    <row r="9" spans="1:7" x14ac:dyDescent="0.3">
      <c r="A9" s="11"/>
      <c r="B9" t="s">
        <v>59</v>
      </c>
      <c r="C9">
        <v>1</v>
      </c>
      <c r="D9" s="4"/>
      <c r="G9"/>
    </row>
    <row r="10" spans="1:7" x14ac:dyDescent="0.3">
      <c r="A10" s="11"/>
      <c r="B10" t="s">
        <v>60</v>
      </c>
      <c r="C10">
        <v>1</v>
      </c>
      <c r="D10" s="4"/>
      <c r="G10"/>
    </row>
    <row r="11" spans="1:7" x14ac:dyDescent="0.3">
      <c r="A11" s="11"/>
      <c r="B11" t="s">
        <v>56</v>
      </c>
      <c r="C11">
        <v>1</v>
      </c>
      <c r="D11" s="4"/>
      <c r="G11"/>
    </row>
    <row r="12" spans="1:7" x14ac:dyDescent="0.3">
      <c r="A12" s="11"/>
      <c r="B12" t="s">
        <v>57</v>
      </c>
      <c r="C12">
        <v>1</v>
      </c>
      <c r="D12" s="4"/>
      <c r="G12"/>
    </row>
    <row r="13" spans="1:7" x14ac:dyDescent="0.3">
      <c r="A13" s="11"/>
      <c r="B13" t="s">
        <v>46</v>
      </c>
      <c r="C13">
        <v>2</v>
      </c>
      <c r="D13" s="4"/>
      <c r="G13"/>
    </row>
    <row r="14" spans="1:7" x14ac:dyDescent="0.3">
      <c r="A14" s="11"/>
      <c r="B14" t="s">
        <v>47</v>
      </c>
      <c r="C14">
        <v>1</v>
      </c>
      <c r="D14" s="4"/>
      <c r="G14"/>
    </row>
    <row r="15" spans="1:7" x14ac:dyDescent="0.3">
      <c r="A15" s="11"/>
      <c r="B15" t="s">
        <v>88</v>
      </c>
      <c r="C15">
        <v>5</v>
      </c>
      <c r="D15" s="4"/>
      <c r="G15"/>
    </row>
    <row r="16" spans="1:7" x14ac:dyDescent="0.3">
      <c r="A16" s="11"/>
      <c r="B16" t="s">
        <v>48</v>
      </c>
      <c r="C16">
        <v>2</v>
      </c>
      <c r="D16" s="4"/>
      <c r="G16"/>
    </row>
    <row r="17" spans="1:8" x14ac:dyDescent="0.3">
      <c r="A17" s="11"/>
      <c r="B17" t="s">
        <v>49</v>
      </c>
      <c r="C17">
        <v>1</v>
      </c>
      <c r="D17" s="4"/>
    </row>
    <row r="18" spans="1:8" x14ac:dyDescent="0.3">
      <c r="A18" s="11"/>
      <c r="B18" t="s">
        <v>86</v>
      </c>
      <c r="C18">
        <v>2</v>
      </c>
      <c r="D18" s="4"/>
    </row>
    <row r="19" spans="1:8" x14ac:dyDescent="0.3">
      <c r="A19" s="11"/>
      <c r="B19" t="s">
        <v>73</v>
      </c>
      <c r="C19">
        <v>2</v>
      </c>
      <c r="D19" s="4"/>
    </row>
    <row r="20" spans="1:8" x14ac:dyDescent="0.3">
      <c r="A20" s="11"/>
      <c r="B20" t="s">
        <v>74</v>
      </c>
      <c r="C20">
        <v>2</v>
      </c>
      <c r="D20" s="4"/>
    </row>
    <row r="21" spans="1:8" ht="17.25" thickBot="1" x14ac:dyDescent="0.35">
      <c r="A21" s="11"/>
      <c r="B21" t="s">
        <v>75</v>
      </c>
      <c r="C21">
        <v>2</v>
      </c>
      <c r="D21" s="4"/>
    </row>
    <row r="22" spans="1:8" ht="17.25" thickBot="1" x14ac:dyDescent="0.35">
      <c r="A22" s="11"/>
      <c r="B22" t="s">
        <v>76</v>
      </c>
      <c r="C22">
        <v>6</v>
      </c>
      <c r="D22" s="25" t="s">
        <v>20</v>
      </c>
      <c r="E22" s="26" t="s">
        <v>62</v>
      </c>
      <c r="F22" s="27" t="s">
        <v>91</v>
      </c>
      <c r="G22"/>
    </row>
    <row r="23" spans="1:8" x14ac:dyDescent="0.3">
      <c r="A23" s="12" t="s">
        <v>26</v>
      </c>
      <c r="B23" s="13" t="s">
        <v>94</v>
      </c>
      <c r="C23" s="13"/>
      <c r="D23" s="13"/>
      <c r="E23" s="13"/>
      <c r="F23" s="14"/>
      <c r="G23"/>
      <c r="H23" s="3"/>
    </row>
    <row r="24" spans="1:8" x14ac:dyDescent="0.3">
      <c r="A24" s="15"/>
      <c r="B24" s="18" t="s">
        <v>66</v>
      </c>
      <c r="C24">
        <v>10</v>
      </c>
      <c r="D24" s="16" t="s">
        <v>69</v>
      </c>
      <c r="E24" t="s">
        <v>29</v>
      </c>
      <c r="F24" s="17">
        <v>1000</v>
      </c>
      <c r="G24"/>
      <c r="H24" s="3"/>
    </row>
    <row r="25" spans="1:8" x14ac:dyDescent="0.3">
      <c r="A25" s="15"/>
      <c r="B25">
        <v>8</v>
      </c>
      <c r="C25">
        <v>28</v>
      </c>
      <c r="D25" s="35" t="s">
        <v>15</v>
      </c>
      <c r="E25" t="s">
        <v>29</v>
      </c>
      <c r="F25" s="17">
        <v>1000</v>
      </c>
      <c r="G25"/>
      <c r="H25" s="3"/>
    </row>
    <row r="26" spans="1:8" x14ac:dyDescent="0.3">
      <c r="A26" s="15"/>
      <c r="B26">
        <v>12</v>
      </c>
      <c r="C26">
        <v>4</v>
      </c>
      <c r="D26" s="35"/>
      <c r="E26" t="s">
        <v>29</v>
      </c>
      <c r="F26" s="17">
        <v>1000</v>
      </c>
      <c r="G26"/>
      <c r="H26" s="3"/>
    </row>
    <row r="27" spans="1:8" x14ac:dyDescent="0.3">
      <c r="A27" s="15"/>
      <c r="B27">
        <v>15</v>
      </c>
      <c r="C27">
        <v>6</v>
      </c>
      <c r="D27" s="35"/>
      <c r="E27" t="s">
        <v>30</v>
      </c>
      <c r="F27" s="17">
        <v>1000</v>
      </c>
      <c r="G27"/>
      <c r="H27" s="3"/>
    </row>
    <row r="28" spans="1:8" x14ac:dyDescent="0.3">
      <c r="A28" s="15"/>
      <c r="B28">
        <v>20</v>
      </c>
      <c r="C28">
        <v>8</v>
      </c>
      <c r="D28" s="35"/>
      <c r="E28" t="s">
        <v>30</v>
      </c>
      <c r="F28" s="17">
        <v>1000</v>
      </c>
      <c r="G28"/>
      <c r="H28" s="3"/>
    </row>
    <row r="29" spans="1:8" x14ac:dyDescent="0.3">
      <c r="A29" s="15"/>
      <c r="B29" t="s">
        <v>24</v>
      </c>
      <c r="D29" s="35"/>
      <c r="F29" s="17"/>
      <c r="G29"/>
      <c r="H29" s="3"/>
    </row>
    <row r="30" spans="1:8" x14ac:dyDescent="0.3">
      <c r="A30" s="15"/>
      <c r="B30">
        <v>10</v>
      </c>
      <c r="C30">
        <v>6</v>
      </c>
      <c r="D30" s="35"/>
      <c r="E30" t="s">
        <v>30</v>
      </c>
      <c r="F30" s="17">
        <v>1000</v>
      </c>
      <c r="G30"/>
      <c r="H30" s="3"/>
    </row>
    <row r="31" spans="1:8" x14ac:dyDescent="0.3">
      <c r="A31" s="15"/>
      <c r="B31">
        <v>15</v>
      </c>
      <c r="C31">
        <v>12</v>
      </c>
      <c r="D31" s="35"/>
      <c r="E31" t="s">
        <v>30</v>
      </c>
      <c r="F31" s="17">
        <v>1500</v>
      </c>
      <c r="G31"/>
      <c r="H31" s="3"/>
    </row>
    <row r="32" spans="1:8" x14ac:dyDescent="0.3">
      <c r="A32" s="15"/>
      <c r="B32" t="s">
        <v>23</v>
      </c>
      <c r="D32" s="35"/>
      <c r="F32" s="17"/>
      <c r="G32"/>
      <c r="H32" s="3"/>
    </row>
    <row r="33" spans="1:10" x14ac:dyDescent="0.3">
      <c r="A33" s="15"/>
      <c r="B33">
        <v>45</v>
      </c>
      <c r="C33">
        <v>3</v>
      </c>
      <c r="D33" s="35"/>
      <c r="E33" t="s">
        <v>31</v>
      </c>
      <c r="F33" s="17">
        <v>1400</v>
      </c>
      <c r="G33"/>
      <c r="H33" s="3"/>
    </row>
    <row r="34" spans="1:10" x14ac:dyDescent="0.3">
      <c r="A34" s="15"/>
      <c r="B34">
        <v>60</v>
      </c>
      <c r="C34">
        <v>1</v>
      </c>
      <c r="D34" s="35"/>
      <c r="E34" t="s">
        <v>32</v>
      </c>
      <c r="F34" s="17">
        <v>1600</v>
      </c>
      <c r="G34"/>
      <c r="H34" s="3"/>
    </row>
    <row r="35" spans="1:10" x14ac:dyDescent="0.3">
      <c r="A35" s="15"/>
      <c r="B35" s="18" t="s">
        <v>72</v>
      </c>
      <c r="C35">
        <v>2</v>
      </c>
      <c r="D35" s="7" t="s">
        <v>71</v>
      </c>
      <c r="E35" t="s">
        <v>31</v>
      </c>
      <c r="F35" s="17">
        <v>1000</v>
      </c>
      <c r="G35"/>
      <c r="H35" s="3"/>
    </row>
    <row r="36" spans="1:10" x14ac:dyDescent="0.3">
      <c r="A36" s="15" t="s">
        <v>27</v>
      </c>
      <c r="B36" s="29" t="s">
        <v>25</v>
      </c>
      <c r="C36">
        <v>12</v>
      </c>
      <c r="D36" s="7" t="s">
        <v>70</v>
      </c>
      <c r="E36" t="s">
        <v>33</v>
      </c>
      <c r="F36" s="17">
        <v>20</v>
      </c>
      <c r="G36"/>
      <c r="H36" s="3"/>
    </row>
    <row r="37" spans="1:10" x14ac:dyDescent="0.3">
      <c r="A37" s="15"/>
      <c r="B37" t="s">
        <v>24</v>
      </c>
      <c r="C37">
        <v>6</v>
      </c>
      <c r="D37" s="7"/>
      <c r="E37" t="s">
        <v>33</v>
      </c>
      <c r="F37" s="17">
        <v>20</v>
      </c>
      <c r="G37"/>
      <c r="H37" s="3"/>
    </row>
    <row r="38" spans="1:10" x14ac:dyDescent="0.3">
      <c r="A38" s="15"/>
      <c r="B38" t="s">
        <v>95</v>
      </c>
      <c r="C38">
        <v>6</v>
      </c>
      <c r="D38" s="16" t="s">
        <v>68</v>
      </c>
      <c r="E38" t="s">
        <v>33</v>
      </c>
      <c r="F38" s="17">
        <v>20</v>
      </c>
      <c r="G38"/>
      <c r="H38" s="3"/>
      <c r="J38" s="7"/>
    </row>
    <row r="39" spans="1:10" x14ac:dyDescent="0.3">
      <c r="A39" s="15"/>
      <c r="B39" t="s">
        <v>96</v>
      </c>
      <c r="C39">
        <v>4</v>
      </c>
      <c r="D39" s="7"/>
      <c r="E39" t="s">
        <v>33</v>
      </c>
      <c r="F39" s="17">
        <v>10</v>
      </c>
      <c r="G39"/>
      <c r="H39" s="3"/>
      <c r="J39" s="7"/>
    </row>
    <row r="40" spans="1:10" x14ac:dyDescent="0.3">
      <c r="A40" s="15" t="s">
        <v>22</v>
      </c>
      <c r="B40" t="s">
        <v>24</v>
      </c>
      <c r="C40">
        <v>12</v>
      </c>
      <c r="D40" s="7" t="s">
        <v>12</v>
      </c>
      <c r="E40" t="s">
        <v>30</v>
      </c>
      <c r="F40" s="17">
        <v>500</v>
      </c>
      <c r="G40"/>
      <c r="H40" s="3"/>
      <c r="J40" s="7"/>
    </row>
    <row r="41" spans="1:10" x14ac:dyDescent="0.3">
      <c r="A41" s="15"/>
      <c r="B41" t="s">
        <v>23</v>
      </c>
      <c r="C41">
        <v>24</v>
      </c>
      <c r="D41" s="10"/>
      <c r="E41" t="s">
        <v>30</v>
      </c>
      <c r="F41" s="17">
        <v>500</v>
      </c>
      <c r="G41"/>
      <c r="H41" s="3"/>
      <c r="J41" s="7"/>
    </row>
    <row r="42" spans="1:10" x14ac:dyDescent="0.3">
      <c r="A42" s="15"/>
      <c r="B42" s="29" t="s">
        <v>63</v>
      </c>
      <c r="C42">
        <v>10</v>
      </c>
      <c r="D42" s="7" t="s">
        <v>36</v>
      </c>
      <c r="E42" s="19" t="s">
        <v>29</v>
      </c>
      <c r="F42" s="17">
        <v>3200</v>
      </c>
      <c r="H42" s="3"/>
    </row>
    <row r="43" spans="1:10" x14ac:dyDescent="0.3">
      <c r="A43" s="15"/>
      <c r="B43" s="29" t="s">
        <v>64</v>
      </c>
      <c r="C43">
        <v>18</v>
      </c>
      <c r="D43" s="7"/>
      <c r="E43" t="s">
        <v>29</v>
      </c>
      <c r="F43" s="17">
        <v>2200</v>
      </c>
      <c r="H43" s="3"/>
    </row>
    <row r="44" spans="1:10" x14ac:dyDescent="0.3">
      <c r="A44" s="20" t="s">
        <v>10</v>
      </c>
      <c r="B44" t="s">
        <v>18</v>
      </c>
      <c r="C44">
        <v>1</v>
      </c>
      <c r="D44" s="7" t="s">
        <v>19</v>
      </c>
      <c r="E44" t="s">
        <v>33</v>
      </c>
      <c r="F44" s="17">
        <v>3600</v>
      </c>
      <c r="G44"/>
      <c r="H44" s="3"/>
    </row>
    <row r="45" spans="1:10" x14ac:dyDescent="0.3">
      <c r="A45" s="20" t="s">
        <v>10</v>
      </c>
      <c r="B45" t="s">
        <v>17</v>
      </c>
      <c r="C45">
        <v>18</v>
      </c>
      <c r="D45" s="35" t="s">
        <v>28</v>
      </c>
      <c r="E45" t="s">
        <v>33</v>
      </c>
      <c r="F45" s="17">
        <v>1500</v>
      </c>
      <c r="G45"/>
      <c r="H45" s="3"/>
    </row>
    <row r="46" spans="1:10" x14ac:dyDescent="0.3">
      <c r="A46" s="20" t="s">
        <v>10</v>
      </c>
      <c r="B46" t="s">
        <v>16</v>
      </c>
      <c r="C46">
        <v>6</v>
      </c>
      <c r="D46" s="35"/>
      <c r="E46" t="s">
        <v>33</v>
      </c>
      <c r="F46" s="17">
        <v>1700</v>
      </c>
      <c r="G46"/>
      <c r="H46" s="3"/>
    </row>
    <row r="47" spans="1:10" x14ac:dyDescent="0.3">
      <c r="A47" s="20" t="s">
        <v>10</v>
      </c>
      <c r="B47" t="s">
        <v>84</v>
      </c>
      <c r="C47">
        <v>12</v>
      </c>
      <c r="D47" s="35"/>
      <c r="E47" t="s">
        <v>33</v>
      </c>
      <c r="F47" s="17">
        <v>1700</v>
      </c>
      <c r="H47" s="3"/>
    </row>
    <row r="48" spans="1:10" x14ac:dyDescent="0.3">
      <c r="A48" s="20" t="s">
        <v>10</v>
      </c>
      <c r="B48" s="4" t="s">
        <v>85</v>
      </c>
      <c r="C48">
        <v>1</v>
      </c>
      <c r="D48" s="16" t="s">
        <v>67</v>
      </c>
      <c r="E48" t="s">
        <v>33</v>
      </c>
      <c r="F48" s="17">
        <v>3190</v>
      </c>
      <c r="H48" s="3"/>
      <c r="J48" s="6"/>
    </row>
    <row r="49" spans="1:10" x14ac:dyDescent="0.3">
      <c r="A49" s="20" t="s">
        <v>3</v>
      </c>
      <c r="B49" s="1" t="s">
        <v>4</v>
      </c>
      <c r="C49">
        <v>3</v>
      </c>
      <c r="D49" s="28" t="s">
        <v>11</v>
      </c>
      <c r="E49" t="s">
        <v>33</v>
      </c>
      <c r="F49" s="17">
        <v>8700</v>
      </c>
      <c r="G49"/>
      <c r="H49" s="3"/>
      <c r="J49" s="6"/>
    </row>
    <row r="50" spans="1:10" x14ac:dyDescent="0.3">
      <c r="A50" s="20" t="s">
        <v>5</v>
      </c>
      <c r="B50" s="1" t="s">
        <v>79</v>
      </c>
      <c r="C50">
        <v>1</v>
      </c>
      <c r="D50" s="16" t="s">
        <v>92</v>
      </c>
      <c r="E50" t="s">
        <v>33</v>
      </c>
      <c r="F50" s="17">
        <v>58300</v>
      </c>
      <c r="G50"/>
      <c r="H50" s="3"/>
      <c r="J50" s="7"/>
    </row>
    <row r="51" spans="1:10" x14ac:dyDescent="0.3">
      <c r="A51" s="20" t="s">
        <v>100</v>
      </c>
      <c r="B51" s="1" t="s">
        <v>101</v>
      </c>
      <c r="C51">
        <v>1</v>
      </c>
      <c r="D51" s="2" t="s">
        <v>154</v>
      </c>
      <c r="E51" t="s">
        <v>33</v>
      </c>
      <c r="F51" s="17">
        <v>990</v>
      </c>
      <c r="G51"/>
      <c r="H51" s="3"/>
      <c r="J51" s="4"/>
    </row>
    <row r="52" spans="1:10" x14ac:dyDescent="0.3">
      <c r="A52" s="20" t="s">
        <v>6</v>
      </c>
      <c r="B52" s="1" t="s">
        <v>7</v>
      </c>
      <c r="C52" t="s">
        <v>90</v>
      </c>
      <c r="D52" s="2" t="s">
        <v>13</v>
      </c>
      <c r="E52" t="s">
        <v>33</v>
      </c>
      <c r="F52" s="17">
        <v>1980</v>
      </c>
      <c r="G52"/>
      <c r="H52" s="3"/>
      <c r="J52" s="4"/>
    </row>
    <row r="53" spans="1:10" x14ac:dyDescent="0.3">
      <c r="A53" s="20" t="s">
        <v>8</v>
      </c>
      <c r="B53" t="s">
        <v>9</v>
      </c>
      <c r="C53">
        <v>1</v>
      </c>
      <c r="D53" s="2" t="s">
        <v>14</v>
      </c>
      <c r="E53" t="s">
        <v>33</v>
      </c>
      <c r="F53" s="17">
        <v>2200</v>
      </c>
      <c r="G53"/>
      <c r="H53" s="3"/>
      <c r="J53" s="4"/>
    </row>
    <row r="54" spans="1:10" x14ac:dyDescent="0.3">
      <c r="A54" s="20" t="s">
        <v>37</v>
      </c>
      <c r="B54">
        <v>2.54</v>
      </c>
      <c r="C54">
        <v>9</v>
      </c>
      <c r="D54" s="6" t="s">
        <v>38</v>
      </c>
      <c r="E54" t="s">
        <v>32</v>
      </c>
      <c r="F54" s="17">
        <v>220</v>
      </c>
      <c r="G54"/>
      <c r="H54" s="3"/>
      <c r="J54" s="4"/>
    </row>
    <row r="55" spans="1:10" x14ac:dyDescent="0.3">
      <c r="A55" s="20" t="s">
        <v>39</v>
      </c>
      <c r="B55" s="1" t="s">
        <v>40</v>
      </c>
      <c r="C55">
        <v>1</v>
      </c>
      <c r="D55" s="6" t="s">
        <v>65</v>
      </c>
      <c r="E55" t="s">
        <v>33</v>
      </c>
      <c r="F55" s="17">
        <v>18700</v>
      </c>
      <c r="G55"/>
      <c r="H55" s="3"/>
    </row>
    <row r="56" spans="1:10" x14ac:dyDescent="0.3">
      <c r="A56" s="20" t="s">
        <v>41</v>
      </c>
      <c r="B56" s="1" t="s">
        <v>33</v>
      </c>
      <c r="C56">
        <v>1</v>
      </c>
      <c r="D56" s="6" t="s">
        <v>43</v>
      </c>
      <c r="E56" t="s">
        <v>33</v>
      </c>
      <c r="F56" s="17">
        <v>2420</v>
      </c>
      <c r="G56"/>
      <c r="H56" s="3"/>
    </row>
    <row r="57" spans="1:10" x14ac:dyDescent="0.3">
      <c r="A57" s="20" t="s">
        <v>42</v>
      </c>
      <c r="B57" s="1" t="s">
        <v>33</v>
      </c>
      <c r="C57">
        <v>2</v>
      </c>
      <c r="D57" s="6" t="s">
        <v>44</v>
      </c>
      <c r="E57" t="s">
        <v>45</v>
      </c>
      <c r="F57" s="17">
        <v>275</v>
      </c>
      <c r="H57" s="3"/>
    </row>
    <row r="58" spans="1:10" x14ac:dyDescent="0.3">
      <c r="A58" s="15" t="s">
        <v>77</v>
      </c>
      <c r="B58" s="1" t="s">
        <v>33</v>
      </c>
      <c r="C58">
        <v>1</v>
      </c>
      <c r="D58" s="16" t="s">
        <v>81</v>
      </c>
      <c r="E58" t="s">
        <v>33</v>
      </c>
      <c r="F58" s="17">
        <v>2530</v>
      </c>
      <c r="H58" s="3"/>
    </row>
    <row r="59" spans="1:10" x14ac:dyDescent="0.3">
      <c r="A59" s="15" t="s">
        <v>78</v>
      </c>
      <c r="B59" s="1" t="s">
        <v>33</v>
      </c>
      <c r="C59">
        <v>1</v>
      </c>
      <c r="D59" s="16" t="s">
        <v>82</v>
      </c>
      <c r="E59" t="s">
        <v>33</v>
      </c>
      <c r="F59" s="17">
        <v>7150</v>
      </c>
      <c r="H59" s="3"/>
    </row>
    <row r="60" spans="1:10" ht="17.25" thickBot="1" x14ac:dyDescent="0.35">
      <c r="A60" s="21" t="s">
        <v>80</v>
      </c>
      <c r="B60" s="22" t="s">
        <v>87</v>
      </c>
      <c r="C60" s="22" t="s">
        <v>89</v>
      </c>
      <c r="D60" s="23" t="s">
        <v>83</v>
      </c>
      <c r="E60" s="22" t="s">
        <v>93</v>
      </c>
      <c r="F60" s="24">
        <v>935</v>
      </c>
      <c r="H60" t="s">
        <v>98</v>
      </c>
      <c r="I60" t="s">
        <v>99</v>
      </c>
    </row>
    <row r="61" spans="1:10" x14ac:dyDescent="0.3">
      <c r="A61" t="s">
        <v>34</v>
      </c>
      <c r="B61" s="1" t="s">
        <v>35</v>
      </c>
      <c r="F61">
        <v>2700</v>
      </c>
    </row>
    <row r="62" spans="1:10" x14ac:dyDescent="0.3">
      <c r="B62" s="1" t="s">
        <v>21</v>
      </c>
      <c r="F62">
        <v>2500</v>
      </c>
    </row>
    <row r="63" spans="1:10" x14ac:dyDescent="0.3">
      <c r="B63" s="1" t="s">
        <v>10</v>
      </c>
      <c r="F63">
        <v>3500</v>
      </c>
    </row>
    <row r="64" spans="1:10" x14ac:dyDescent="0.3">
      <c r="B64" s="1"/>
      <c r="D64" s="6"/>
      <c r="G64"/>
      <c r="H64" s="3"/>
    </row>
    <row r="65" spans="7:8" x14ac:dyDescent="0.3">
      <c r="G65"/>
      <c r="H65" s="3"/>
    </row>
    <row r="66" spans="7:8" x14ac:dyDescent="0.3">
      <c r="G66"/>
      <c r="H66" s="3"/>
    </row>
    <row r="67" spans="7:8" x14ac:dyDescent="0.3">
      <c r="G67"/>
      <c r="H67" s="3"/>
    </row>
    <row r="85" spans="7:7" x14ac:dyDescent="0.3">
      <c r="G85"/>
    </row>
    <row r="86" spans="7:7" x14ac:dyDescent="0.3">
      <c r="G86"/>
    </row>
    <row r="87" spans="7:7" x14ac:dyDescent="0.3">
      <c r="G87"/>
    </row>
    <row r="88" spans="7:7" x14ac:dyDescent="0.3">
      <c r="G88"/>
    </row>
    <row r="91" spans="7:7" x14ac:dyDescent="0.3">
      <c r="G91"/>
    </row>
    <row r="98" spans="7:37" x14ac:dyDescent="0.3">
      <c r="G98"/>
    </row>
    <row r="99" spans="7:37" x14ac:dyDescent="0.3">
      <c r="G99"/>
    </row>
    <row r="100" spans="7:37" x14ac:dyDescent="0.3">
      <c r="G100"/>
    </row>
    <row r="101" spans="7:37" x14ac:dyDescent="0.3">
      <c r="G101"/>
      <c r="AK101" s="4"/>
    </row>
    <row r="102" spans="7:37" x14ac:dyDescent="0.3">
      <c r="AK102" s="4"/>
    </row>
    <row r="112" spans="7:37" x14ac:dyDescent="0.3">
      <c r="K112" s="1"/>
      <c r="Q112" s="4"/>
    </row>
    <row r="113" spans="16:17" x14ac:dyDescent="0.3">
      <c r="Q113" s="7"/>
    </row>
    <row r="114" spans="16:17" x14ac:dyDescent="0.3">
      <c r="Q114" s="7"/>
    </row>
    <row r="115" spans="16:17" x14ac:dyDescent="0.3">
      <c r="Q115" s="7"/>
    </row>
    <row r="116" spans="16:17" x14ac:dyDescent="0.3">
      <c r="Q116" s="6"/>
    </row>
    <row r="117" spans="16:17" x14ac:dyDescent="0.3">
      <c r="Q117" s="7"/>
    </row>
    <row r="118" spans="16:17" x14ac:dyDescent="0.3">
      <c r="Q118" s="7"/>
    </row>
    <row r="119" spans="16:17" x14ac:dyDescent="0.3">
      <c r="Q119" s="7"/>
    </row>
    <row r="120" spans="16:17" x14ac:dyDescent="0.3">
      <c r="Q120" s="7"/>
    </row>
    <row r="121" spans="16:17" x14ac:dyDescent="0.3">
      <c r="Q121" s="7"/>
    </row>
    <row r="122" spans="16:17" x14ac:dyDescent="0.3">
      <c r="Q122" s="7"/>
    </row>
    <row r="123" spans="16:17" x14ac:dyDescent="0.3">
      <c r="Q123" s="7"/>
    </row>
    <row r="124" spans="16:17" x14ac:dyDescent="0.3">
      <c r="Q124" s="7"/>
    </row>
    <row r="125" spans="16:17" x14ac:dyDescent="0.3">
      <c r="P125" s="3"/>
      <c r="Q125" s="7"/>
    </row>
    <row r="126" spans="16:17" x14ac:dyDescent="0.3">
      <c r="Q126" s="7"/>
    </row>
    <row r="127" spans="16:17" x14ac:dyDescent="0.3">
      <c r="Q127" s="7"/>
    </row>
    <row r="128" spans="16:17" x14ac:dyDescent="0.3">
      <c r="P128" s="3"/>
      <c r="Q128" s="7"/>
    </row>
    <row r="129" spans="11:17" x14ac:dyDescent="0.3">
      <c r="P129" s="3"/>
      <c r="Q129" s="7"/>
    </row>
    <row r="130" spans="11:17" x14ac:dyDescent="0.3">
      <c r="Q130" s="7"/>
    </row>
    <row r="131" spans="11:17" x14ac:dyDescent="0.3">
      <c r="Q131" s="7"/>
    </row>
    <row r="132" spans="11:17" x14ac:dyDescent="0.3">
      <c r="L132" s="1"/>
      <c r="P132" s="3"/>
      <c r="Q132" s="7"/>
    </row>
    <row r="133" spans="11:17" x14ac:dyDescent="0.3">
      <c r="P133" s="3"/>
      <c r="Q133" s="36"/>
    </row>
    <row r="134" spans="11:17" x14ac:dyDescent="0.3">
      <c r="K134" s="1"/>
      <c r="L134" s="1"/>
      <c r="P134" s="3"/>
      <c r="Q134" s="36"/>
    </row>
    <row r="135" spans="11:17" x14ac:dyDescent="0.3">
      <c r="L135" s="1"/>
      <c r="P135" s="3"/>
    </row>
    <row r="136" spans="11:17" x14ac:dyDescent="0.3">
      <c r="L136" s="1"/>
    </row>
    <row r="137" spans="11:17" x14ac:dyDescent="0.3">
      <c r="L137" s="1"/>
    </row>
    <row r="138" spans="11:17" x14ac:dyDescent="0.3">
      <c r="L138" s="1"/>
    </row>
    <row r="146" spans="12:17" x14ac:dyDescent="0.3">
      <c r="L146" s="1"/>
      <c r="P146" s="3"/>
    </row>
    <row r="147" spans="12:17" x14ac:dyDescent="0.3">
      <c r="L147" s="1"/>
      <c r="N147" s="3"/>
      <c r="O147" s="1"/>
      <c r="P147" s="3"/>
    </row>
    <row r="151" spans="12:17" x14ac:dyDescent="0.3">
      <c r="L151" s="1"/>
      <c r="M151" s="1"/>
      <c r="N151" s="1"/>
      <c r="O151" s="1"/>
      <c r="P151" s="3"/>
    </row>
    <row r="152" spans="12:17" x14ac:dyDescent="0.3">
      <c r="Q152" s="4"/>
    </row>
    <row r="153" spans="12:17" x14ac:dyDescent="0.3">
      <c r="Q153" s="4"/>
    </row>
    <row r="154" spans="12:17" x14ac:dyDescent="0.3">
      <c r="Q154" s="4"/>
    </row>
    <row r="168" spans="1:3" x14ac:dyDescent="0.3">
      <c r="A168" s="4"/>
      <c r="C168" s="9"/>
    </row>
    <row r="169" spans="1:3" x14ac:dyDescent="0.3">
      <c r="A169" s="4"/>
    </row>
    <row r="179" spans="2:4" x14ac:dyDescent="0.3">
      <c r="B179" s="4"/>
    </row>
    <row r="180" spans="2:4" x14ac:dyDescent="0.3">
      <c r="B180" s="4"/>
      <c r="D180" s="8"/>
    </row>
    <row r="181" spans="2:4" x14ac:dyDescent="0.3">
      <c r="B181" s="4"/>
    </row>
    <row r="182" spans="2:4" x14ac:dyDescent="0.3">
      <c r="B182" s="4"/>
      <c r="D182" s="9"/>
    </row>
    <row r="183" spans="2:4" x14ac:dyDescent="0.3">
      <c r="B183" s="4"/>
    </row>
    <row r="184" spans="2:4" x14ac:dyDescent="0.3">
      <c r="B184" s="4"/>
    </row>
    <row r="185" spans="2:4" x14ac:dyDescent="0.3">
      <c r="B185" s="4"/>
      <c r="D185" s="9"/>
    </row>
    <row r="189" spans="2:4" x14ac:dyDescent="0.3">
      <c r="B189" s="4"/>
      <c r="D189" s="5"/>
    </row>
    <row r="191" spans="2:4" x14ac:dyDescent="0.3">
      <c r="B191" s="4"/>
      <c r="D191" s="8"/>
    </row>
    <row r="192" spans="2:4" x14ac:dyDescent="0.3">
      <c r="B192" s="4"/>
      <c r="D192" s="5"/>
    </row>
    <row r="239" spans="7:7" x14ac:dyDescent="0.3">
      <c r="G239"/>
    </row>
    <row r="240" spans="7:7" x14ac:dyDescent="0.3">
      <c r="G240"/>
    </row>
    <row r="241" spans="7:7" x14ac:dyDescent="0.3">
      <c r="G241"/>
    </row>
    <row r="242" spans="7:7" x14ac:dyDescent="0.3">
      <c r="G242"/>
    </row>
  </sheetData>
  <mergeCells count="3">
    <mergeCell ref="D45:D47"/>
    <mergeCell ref="Q133:Q134"/>
    <mergeCell ref="D25:D34"/>
  </mergeCells>
  <phoneticPr fontId="1" type="noConversion"/>
  <hyperlinks>
    <hyperlink ref="D49" r:id="rId1" display="https://www.11st.co.kr/products/2475047432?NaPm=ct=l75roit4|ci=f932db0520310e3065b7ae57756678b3c8c51ea6|tr=slct|sn=17703|hk=cb1d047cef103bcc1c7613dbf667e2ce9bfb09c4&amp;utm_term=&amp;utm_campaign=%B3%D7%C0%CC%B9%F6pc_%B0%A1%B0%DD%BA%F1%B1%B3%B1%E2%BA%BB&amp;utm_source=%B3%D7%C0%CC%B9%F6_PC_PCS&amp;utm_medium=%B0%A1%B0%DD%BA%F1%B1%B3"/>
    <hyperlink ref="D42" r:id="rId2"/>
    <hyperlink ref="D54" r:id="rId3"/>
    <hyperlink ref="D56" r:id="rId4"/>
    <hyperlink ref="D57" r:id="rId5"/>
    <hyperlink ref="D40" r:id="rId6"/>
    <hyperlink ref="D44" r:id="rId7"/>
    <hyperlink ref="D45" r:id="rId8"/>
    <hyperlink ref="D25" r:id="rId9"/>
    <hyperlink ref="D48" r:id="rId10"/>
    <hyperlink ref="D38" r:id="rId11"/>
    <hyperlink ref="D24" r:id="rId12"/>
    <hyperlink ref="D58" r:id="rId13"/>
    <hyperlink ref="D59" r:id="rId14"/>
    <hyperlink ref="D60" r:id="rId15"/>
    <hyperlink ref="D36" r:id="rId16"/>
    <hyperlink ref="D35" r:id="rId17"/>
    <hyperlink ref="D51" r:id="rId18"/>
  </hyperlinks>
  <pageMargins left="0.7" right="0.7" top="0.75" bottom="0.75" header="0.3" footer="0.3"/>
  <pageSetup paperSize="9" orientation="portrait" r:id="rId19"/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2"/>
  <sheetViews>
    <sheetView zoomScale="85" zoomScaleNormal="85" workbookViewId="0">
      <selection activeCell="B49" sqref="B49"/>
    </sheetView>
  </sheetViews>
  <sheetFormatPr defaultColWidth="10.625" defaultRowHeight="16.5" x14ac:dyDescent="0.3"/>
  <cols>
    <col min="1" max="1" width="13.125" customWidth="1"/>
    <col min="2" max="2" width="17.875" customWidth="1"/>
    <col min="4" max="4" width="18.25" customWidth="1"/>
    <col min="7" max="7" width="10.625" style="4"/>
  </cols>
  <sheetData>
    <row r="1" spans="1:7" x14ac:dyDescent="0.3">
      <c r="A1" s="1" t="s">
        <v>0</v>
      </c>
      <c r="B1" t="s">
        <v>1</v>
      </c>
      <c r="C1" t="s">
        <v>2</v>
      </c>
    </row>
    <row r="2" spans="1:7" x14ac:dyDescent="0.3">
      <c r="A2" s="11" t="s">
        <v>61</v>
      </c>
      <c r="B2" t="s">
        <v>50</v>
      </c>
      <c r="C2">
        <v>1</v>
      </c>
      <c r="D2" s="4"/>
      <c r="G2"/>
    </row>
    <row r="3" spans="1:7" x14ac:dyDescent="0.3">
      <c r="A3" s="11"/>
      <c r="B3" t="s">
        <v>51</v>
      </c>
      <c r="C3">
        <v>1</v>
      </c>
      <c r="D3" s="4"/>
      <c r="G3"/>
    </row>
    <row r="4" spans="1:7" x14ac:dyDescent="0.3">
      <c r="A4" s="11"/>
      <c r="B4" t="s">
        <v>52</v>
      </c>
      <c r="C4">
        <v>1</v>
      </c>
      <c r="D4" s="4"/>
      <c r="G4"/>
    </row>
    <row r="5" spans="1:7" x14ac:dyDescent="0.3">
      <c r="A5" s="11"/>
      <c r="B5" t="s">
        <v>53</v>
      </c>
      <c r="C5">
        <v>3</v>
      </c>
      <c r="D5" s="4"/>
      <c r="G5"/>
    </row>
    <row r="6" spans="1:7" x14ac:dyDescent="0.3">
      <c r="A6" s="11"/>
      <c r="B6" t="s">
        <v>54</v>
      </c>
      <c r="C6">
        <v>1</v>
      </c>
      <c r="D6" s="4"/>
      <c r="G6"/>
    </row>
    <row r="7" spans="1:7" x14ac:dyDescent="0.3">
      <c r="A7" s="11"/>
      <c r="B7" t="s">
        <v>55</v>
      </c>
      <c r="C7">
        <v>1</v>
      </c>
      <c r="D7" s="4"/>
      <c r="G7"/>
    </row>
    <row r="8" spans="1:7" x14ac:dyDescent="0.3">
      <c r="A8" s="11"/>
      <c r="B8" t="s">
        <v>58</v>
      </c>
      <c r="C8">
        <v>1</v>
      </c>
      <c r="G8"/>
    </row>
    <row r="9" spans="1:7" x14ac:dyDescent="0.3">
      <c r="A9" s="11"/>
      <c r="B9" t="s">
        <v>59</v>
      </c>
      <c r="C9">
        <v>1</v>
      </c>
      <c r="G9"/>
    </row>
    <row r="10" spans="1:7" x14ac:dyDescent="0.3">
      <c r="A10" s="11"/>
      <c r="B10" t="s">
        <v>60</v>
      </c>
      <c r="C10">
        <v>1</v>
      </c>
      <c r="G10"/>
    </row>
    <row r="11" spans="1:7" x14ac:dyDescent="0.3">
      <c r="A11" s="11"/>
      <c r="B11" t="s">
        <v>56</v>
      </c>
      <c r="C11">
        <v>1</v>
      </c>
      <c r="G11"/>
    </row>
    <row r="12" spans="1:7" x14ac:dyDescent="0.3">
      <c r="A12" s="11"/>
      <c r="B12" t="s">
        <v>57</v>
      </c>
      <c r="C12">
        <v>1</v>
      </c>
      <c r="D12" s="4"/>
      <c r="G12"/>
    </row>
    <row r="13" spans="1:7" x14ac:dyDescent="0.3">
      <c r="A13" s="11"/>
      <c r="B13" t="s">
        <v>46</v>
      </c>
      <c r="C13">
        <v>1</v>
      </c>
      <c r="D13" s="4"/>
      <c r="G13"/>
    </row>
    <row r="14" spans="1:7" x14ac:dyDescent="0.3">
      <c r="A14" s="11"/>
      <c r="B14" t="s">
        <v>47</v>
      </c>
      <c r="C14">
        <v>2</v>
      </c>
      <c r="D14" s="4"/>
      <c r="G14"/>
    </row>
    <row r="15" spans="1:7" x14ac:dyDescent="0.3">
      <c r="A15" s="11"/>
      <c r="B15" t="s">
        <v>88</v>
      </c>
      <c r="C15">
        <v>5</v>
      </c>
      <c r="D15" s="4"/>
      <c r="G15"/>
    </row>
    <row r="16" spans="1:7" x14ac:dyDescent="0.3">
      <c r="A16" s="11"/>
      <c r="B16" t="s">
        <v>48</v>
      </c>
      <c r="C16">
        <v>2</v>
      </c>
      <c r="D16" s="4"/>
      <c r="G16"/>
    </row>
    <row r="17" spans="1:8" x14ac:dyDescent="0.3">
      <c r="A17" s="11"/>
      <c r="B17" t="s">
        <v>49</v>
      </c>
      <c r="C17">
        <v>1</v>
      </c>
    </row>
    <row r="18" spans="1:8" x14ac:dyDescent="0.3">
      <c r="A18" s="11"/>
      <c r="B18" t="s">
        <v>86</v>
      </c>
      <c r="C18">
        <v>2</v>
      </c>
    </row>
    <row r="19" spans="1:8" x14ac:dyDescent="0.3">
      <c r="A19" s="11"/>
      <c r="B19" t="s">
        <v>73</v>
      </c>
      <c r="C19">
        <v>2</v>
      </c>
    </row>
    <row r="20" spans="1:8" x14ac:dyDescent="0.3">
      <c r="A20" s="11"/>
      <c r="B20" t="s">
        <v>74</v>
      </c>
      <c r="C20">
        <v>2</v>
      </c>
    </row>
    <row r="21" spans="1:8" ht="17.25" thickBot="1" x14ac:dyDescent="0.35">
      <c r="A21" s="11"/>
      <c r="B21" t="s">
        <v>75</v>
      </c>
      <c r="C21">
        <v>2</v>
      </c>
    </row>
    <row r="22" spans="1:8" ht="17.25" thickBot="1" x14ac:dyDescent="0.35">
      <c r="A22" s="11"/>
      <c r="B22" t="s">
        <v>76</v>
      </c>
      <c r="C22">
        <v>6</v>
      </c>
      <c r="D22" s="25" t="s">
        <v>20</v>
      </c>
      <c r="E22" s="26" t="s">
        <v>62</v>
      </c>
      <c r="F22" s="27" t="s">
        <v>91</v>
      </c>
      <c r="G22"/>
    </row>
    <row r="23" spans="1:8" x14ac:dyDescent="0.3">
      <c r="A23" s="12" t="s">
        <v>26</v>
      </c>
      <c r="B23" s="13" t="s">
        <v>94</v>
      </c>
      <c r="C23" s="13"/>
      <c r="D23" s="13"/>
      <c r="E23" s="13"/>
      <c r="F23" s="14"/>
      <c r="G23"/>
      <c r="H23" s="3"/>
    </row>
    <row r="24" spans="1:8" x14ac:dyDescent="0.3">
      <c r="A24" s="15"/>
      <c r="B24" s="18" t="s">
        <v>66</v>
      </c>
      <c r="C24">
        <v>10</v>
      </c>
      <c r="D24" s="16" t="s">
        <v>69</v>
      </c>
      <c r="E24" t="s">
        <v>29</v>
      </c>
      <c r="F24" s="17">
        <v>1000</v>
      </c>
      <c r="G24"/>
      <c r="H24" s="3"/>
    </row>
    <row r="25" spans="1:8" x14ac:dyDescent="0.3">
      <c r="A25" s="15"/>
      <c r="B25">
        <v>8</v>
      </c>
      <c r="C25">
        <v>30</v>
      </c>
      <c r="D25" s="35" t="s">
        <v>15</v>
      </c>
      <c r="E25" t="s">
        <v>29</v>
      </c>
      <c r="F25" s="17">
        <v>1000</v>
      </c>
      <c r="G25"/>
      <c r="H25" s="3"/>
    </row>
    <row r="26" spans="1:8" x14ac:dyDescent="0.3">
      <c r="A26" s="15"/>
      <c r="B26">
        <v>12</v>
      </c>
      <c r="C26">
        <v>10</v>
      </c>
      <c r="D26" s="35"/>
      <c r="E26" t="s">
        <v>29</v>
      </c>
      <c r="F26" s="17">
        <v>1000</v>
      </c>
      <c r="G26"/>
      <c r="H26" s="3"/>
    </row>
    <row r="27" spans="1:8" x14ac:dyDescent="0.3">
      <c r="A27" s="15"/>
      <c r="B27">
        <v>15</v>
      </c>
      <c r="C27">
        <v>10</v>
      </c>
      <c r="D27" s="35"/>
      <c r="E27" t="s">
        <v>30</v>
      </c>
      <c r="F27" s="17">
        <v>1000</v>
      </c>
      <c r="G27"/>
      <c r="H27" s="3"/>
    </row>
    <row r="28" spans="1:8" x14ac:dyDescent="0.3">
      <c r="A28" s="15"/>
      <c r="B28">
        <v>20</v>
      </c>
      <c r="C28">
        <v>10</v>
      </c>
      <c r="D28" s="35"/>
      <c r="E28" t="s">
        <v>30</v>
      </c>
      <c r="F28" s="17">
        <v>1000</v>
      </c>
      <c r="G28"/>
      <c r="H28" s="3"/>
    </row>
    <row r="29" spans="1:8" x14ac:dyDescent="0.3">
      <c r="A29" s="15"/>
      <c r="B29" t="s">
        <v>24</v>
      </c>
      <c r="D29" s="35"/>
      <c r="F29" s="17"/>
      <c r="G29"/>
      <c r="H29" s="3"/>
    </row>
    <row r="30" spans="1:8" x14ac:dyDescent="0.3">
      <c r="A30" s="15"/>
      <c r="B30">
        <v>10</v>
      </c>
      <c r="C30">
        <v>10</v>
      </c>
      <c r="D30" s="35"/>
      <c r="E30" t="s">
        <v>30</v>
      </c>
      <c r="F30" s="17">
        <v>1000</v>
      </c>
      <c r="G30"/>
      <c r="H30" s="3"/>
    </row>
    <row r="31" spans="1:8" x14ac:dyDescent="0.3">
      <c r="A31" s="15"/>
      <c r="B31">
        <v>15</v>
      </c>
      <c r="C31">
        <v>20</v>
      </c>
      <c r="D31" s="35"/>
      <c r="E31" t="s">
        <v>30</v>
      </c>
      <c r="F31" s="17">
        <v>1500</v>
      </c>
      <c r="G31"/>
      <c r="H31" s="3"/>
    </row>
    <row r="32" spans="1:8" x14ac:dyDescent="0.3">
      <c r="A32" s="15"/>
      <c r="B32" t="s">
        <v>23</v>
      </c>
      <c r="D32" s="35"/>
      <c r="F32" s="17"/>
      <c r="G32"/>
      <c r="H32" s="3"/>
    </row>
    <row r="33" spans="1:10" x14ac:dyDescent="0.3">
      <c r="A33" s="15"/>
      <c r="B33">
        <v>45</v>
      </c>
      <c r="C33">
        <v>10</v>
      </c>
      <c r="D33" s="35"/>
      <c r="E33" t="s">
        <v>31</v>
      </c>
      <c r="F33" s="17">
        <v>1400</v>
      </c>
      <c r="G33"/>
      <c r="H33" s="3"/>
    </row>
    <row r="34" spans="1:10" x14ac:dyDescent="0.3">
      <c r="A34" s="15"/>
      <c r="B34">
        <v>60</v>
      </c>
      <c r="C34">
        <v>10</v>
      </c>
      <c r="D34" s="35"/>
      <c r="E34" t="s">
        <v>32</v>
      </c>
      <c r="F34" s="17">
        <v>1600</v>
      </c>
      <c r="G34"/>
      <c r="H34" s="3"/>
    </row>
    <row r="35" spans="1:10" x14ac:dyDescent="0.3">
      <c r="A35" s="15"/>
      <c r="B35" s="18" t="s">
        <v>72</v>
      </c>
      <c r="C35">
        <v>10</v>
      </c>
      <c r="D35" s="7" t="s">
        <v>71</v>
      </c>
      <c r="E35" t="s">
        <v>31</v>
      </c>
      <c r="F35" s="17">
        <v>1000</v>
      </c>
      <c r="H35" s="3"/>
    </row>
    <row r="36" spans="1:10" x14ac:dyDescent="0.3">
      <c r="A36" s="15" t="s">
        <v>27</v>
      </c>
      <c r="B36" t="s">
        <v>25</v>
      </c>
      <c r="C36">
        <v>30</v>
      </c>
      <c r="D36" s="7" t="s">
        <v>70</v>
      </c>
      <c r="E36" t="s">
        <v>33</v>
      </c>
      <c r="F36" s="17">
        <v>20</v>
      </c>
      <c r="G36"/>
      <c r="H36" s="3"/>
    </row>
    <row r="37" spans="1:10" x14ac:dyDescent="0.3">
      <c r="A37" s="15"/>
      <c r="B37" t="s">
        <v>24</v>
      </c>
      <c r="C37">
        <v>10</v>
      </c>
      <c r="D37" s="7"/>
      <c r="E37" t="s">
        <v>33</v>
      </c>
      <c r="F37" s="17">
        <v>20</v>
      </c>
      <c r="G37"/>
      <c r="H37" s="3"/>
    </row>
    <row r="38" spans="1:10" x14ac:dyDescent="0.3">
      <c r="A38" s="15"/>
      <c r="B38" t="s">
        <v>95</v>
      </c>
      <c r="C38">
        <v>10</v>
      </c>
      <c r="D38" s="16" t="s">
        <v>68</v>
      </c>
      <c r="E38" t="s">
        <v>33</v>
      </c>
      <c r="F38" s="17">
        <v>20</v>
      </c>
      <c r="H38" s="3"/>
      <c r="J38" s="7"/>
    </row>
    <row r="39" spans="1:10" x14ac:dyDescent="0.3">
      <c r="A39" s="15"/>
      <c r="B39" t="s">
        <v>96</v>
      </c>
      <c r="C39">
        <v>10</v>
      </c>
      <c r="D39" s="7"/>
      <c r="E39" t="s">
        <v>33</v>
      </c>
      <c r="F39" s="17">
        <v>10</v>
      </c>
      <c r="G39"/>
      <c r="H39" s="3"/>
      <c r="J39" s="7"/>
    </row>
    <row r="40" spans="1:10" x14ac:dyDescent="0.3">
      <c r="A40" s="15" t="s">
        <v>22</v>
      </c>
      <c r="B40" t="s">
        <v>24</v>
      </c>
      <c r="C40">
        <v>20</v>
      </c>
      <c r="D40" s="7" t="s">
        <v>12</v>
      </c>
      <c r="E40" t="s">
        <v>30</v>
      </c>
      <c r="F40" s="17">
        <v>500</v>
      </c>
      <c r="G40"/>
      <c r="H40" s="3"/>
      <c r="J40" s="7"/>
    </row>
    <row r="41" spans="1:10" x14ac:dyDescent="0.3">
      <c r="A41" s="15"/>
      <c r="B41" t="s">
        <v>23</v>
      </c>
      <c r="C41">
        <v>30</v>
      </c>
      <c r="D41" s="10"/>
      <c r="E41" t="s">
        <v>30</v>
      </c>
      <c r="F41" s="17">
        <v>500</v>
      </c>
      <c r="G41"/>
      <c r="H41" s="3"/>
      <c r="J41" s="7"/>
    </row>
    <row r="42" spans="1:10" x14ac:dyDescent="0.3">
      <c r="A42" s="15"/>
      <c r="B42" t="s">
        <v>63</v>
      </c>
      <c r="C42">
        <v>10</v>
      </c>
      <c r="D42" s="7" t="s">
        <v>36</v>
      </c>
      <c r="E42" s="19" t="s">
        <v>29</v>
      </c>
      <c r="F42" s="17">
        <v>3200</v>
      </c>
      <c r="G42"/>
      <c r="H42" s="3"/>
      <c r="J42" s="6"/>
    </row>
    <row r="43" spans="1:10" x14ac:dyDescent="0.3">
      <c r="A43" s="15"/>
      <c r="B43" t="s">
        <v>64</v>
      </c>
      <c r="C43">
        <v>20</v>
      </c>
      <c r="D43" s="7"/>
      <c r="E43" t="s">
        <v>29</v>
      </c>
      <c r="F43" s="17">
        <v>2200</v>
      </c>
      <c r="G43"/>
      <c r="H43" s="3"/>
      <c r="J43" s="6"/>
    </row>
    <row r="44" spans="1:10" x14ac:dyDescent="0.3">
      <c r="A44" s="20" t="s">
        <v>10</v>
      </c>
      <c r="B44" t="s">
        <v>18</v>
      </c>
      <c r="C44">
        <v>1</v>
      </c>
      <c r="D44" s="7" t="s">
        <v>19</v>
      </c>
      <c r="E44" t="s">
        <v>33</v>
      </c>
      <c r="F44" s="17">
        <v>3600</v>
      </c>
      <c r="G44"/>
      <c r="H44" s="3"/>
      <c r="J44" s="6"/>
    </row>
    <row r="45" spans="1:10" x14ac:dyDescent="0.3">
      <c r="A45" s="20" t="s">
        <v>10</v>
      </c>
      <c r="B45" t="s">
        <v>17</v>
      </c>
      <c r="C45">
        <v>18</v>
      </c>
      <c r="D45" s="35" t="s">
        <v>28</v>
      </c>
      <c r="E45" t="s">
        <v>33</v>
      </c>
      <c r="F45" s="17">
        <v>1500</v>
      </c>
      <c r="G45"/>
      <c r="H45" s="3"/>
      <c r="J45" s="6"/>
    </row>
    <row r="46" spans="1:10" x14ac:dyDescent="0.3">
      <c r="A46" s="20" t="s">
        <v>10</v>
      </c>
      <c r="B46" t="s">
        <v>16</v>
      </c>
      <c r="C46">
        <v>6</v>
      </c>
      <c r="D46" s="35"/>
      <c r="E46" t="s">
        <v>33</v>
      </c>
      <c r="F46" s="17">
        <v>1700</v>
      </c>
      <c r="G46"/>
      <c r="H46" s="3"/>
      <c r="J46" s="6"/>
    </row>
    <row r="47" spans="1:10" x14ac:dyDescent="0.3">
      <c r="A47" s="20" t="s">
        <v>10</v>
      </c>
      <c r="B47" t="s">
        <v>84</v>
      </c>
      <c r="C47">
        <v>12</v>
      </c>
      <c r="D47" s="35"/>
      <c r="E47" t="s">
        <v>33</v>
      </c>
      <c r="F47" s="17">
        <v>1700</v>
      </c>
      <c r="H47" s="3"/>
      <c r="J47" s="6"/>
    </row>
    <row r="48" spans="1:10" x14ac:dyDescent="0.3">
      <c r="A48" s="20" t="s">
        <v>10</v>
      </c>
      <c r="B48" s="4" t="s">
        <v>85</v>
      </c>
      <c r="C48">
        <v>1</v>
      </c>
      <c r="D48" s="16" t="s">
        <v>67</v>
      </c>
      <c r="E48" t="s">
        <v>33</v>
      </c>
      <c r="F48" s="17">
        <v>3190</v>
      </c>
      <c r="H48" s="3"/>
      <c r="J48" s="6"/>
    </row>
    <row r="49" spans="1:11" x14ac:dyDescent="0.3">
      <c r="A49" s="20" t="s">
        <v>3</v>
      </c>
      <c r="B49" s="1" t="s">
        <v>4</v>
      </c>
      <c r="C49">
        <v>3</v>
      </c>
      <c r="D49" s="28" t="s">
        <v>11</v>
      </c>
      <c r="E49" t="s">
        <v>33</v>
      </c>
      <c r="F49" s="17">
        <v>8700</v>
      </c>
      <c r="G49"/>
      <c r="H49" s="3"/>
      <c r="J49" s="6"/>
    </row>
    <row r="50" spans="1:11" x14ac:dyDescent="0.3">
      <c r="A50" s="20" t="s">
        <v>5</v>
      </c>
      <c r="B50" s="1" t="s">
        <v>79</v>
      </c>
      <c r="C50">
        <v>1</v>
      </c>
      <c r="D50" s="16" t="s">
        <v>92</v>
      </c>
      <c r="E50" t="s">
        <v>33</v>
      </c>
      <c r="F50" s="17">
        <v>58300</v>
      </c>
      <c r="G50"/>
      <c r="H50" s="3"/>
      <c r="J50" s="7"/>
    </row>
    <row r="51" spans="1:11" x14ac:dyDescent="0.3">
      <c r="A51" s="20" t="s">
        <v>100</v>
      </c>
      <c r="B51" s="1" t="s">
        <v>101</v>
      </c>
      <c r="C51">
        <v>1</v>
      </c>
      <c r="D51" s="2" t="s">
        <v>102</v>
      </c>
      <c r="E51" t="s">
        <v>33</v>
      </c>
      <c r="F51" s="17">
        <v>990</v>
      </c>
      <c r="G51"/>
      <c r="K51" s="4"/>
    </row>
    <row r="52" spans="1:11" x14ac:dyDescent="0.3">
      <c r="A52" s="20" t="s">
        <v>6</v>
      </c>
      <c r="B52" s="1" t="s">
        <v>7</v>
      </c>
      <c r="C52">
        <v>5</v>
      </c>
      <c r="D52" s="2" t="s">
        <v>13</v>
      </c>
      <c r="E52" t="s">
        <v>33</v>
      </c>
      <c r="F52" s="17">
        <v>1980</v>
      </c>
      <c r="G52"/>
      <c r="K52" s="4"/>
    </row>
    <row r="53" spans="1:11" x14ac:dyDescent="0.3">
      <c r="A53" s="20" t="s">
        <v>8</v>
      </c>
      <c r="B53" t="s">
        <v>9</v>
      </c>
      <c r="C53">
        <v>1</v>
      </c>
      <c r="D53" s="2" t="s">
        <v>14</v>
      </c>
      <c r="E53" t="s">
        <v>33</v>
      </c>
      <c r="F53" s="17">
        <v>2200</v>
      </c>
      <c r="G53"/>
      <c r="K53" s="4"/>
    </row>
    <row r="54" spans="1:11" x14ac:dyDescent="0.3">
      <c r="A54" s="20" t="s">
        <v>37</v>
      </c>
      <c r="B54">
        <v>2.54</v>
      </c>
      <c r="C54">
        <v>10</v>
      </c>
      <c r="D54" s="6" t="s">
        <v>38</v>
      </c>
      <c r="E54" t="s">
        <v>32</v>
      </c>
      <c r="F54" s="17">
        <v>220</v>
      </c>
      <c r="G54"/>
      <c r="K54" s="4"/>
    </row>
    <row r="55" spans="1:11" x14ac:dyDescent="0.3">
      <c r="A55" s="20" t="s">
        <v>39</v>
      </c>
      <c r="B55" s="1" t="s">
        <v>40</v>
      </c>
      <c r="C55">
        <v>1</v>
      </c>
      <c r="D55" s="6" t="s">
        <v>107</v>
      </c>
      <c r="E55" t="s">
        <v>33</v>
      </c>
      <c r="F55" s="17">
        <v>18700</v>
      </c>
      <c r="G55"/>
      <c r="K55" s="4"/>
    </row>
    <row r="56" spans="1:11" x14ac:dyDescent="0.3">
      <c r="A56" s="20" t="s">
        <v>41</v>
      </c>
      <c r="B56" s="1" t="s">
        <v>33</v>
      </c>
      <c r="C56">
        <v>1</v>
      </c>
      <c r="D56" s="6" t="s">
        <v>43</v>
      </c>
      <c r="E56" t="s">
        <v>33</v>
      </c>
      <c r="F56" s="17">
        <v>2420</v>
      </c>
      <c r="G56"/>
      <c r="K56" s="4"/>
    </row>
    <row r="57" spans="1:11" x14ac:dyDescent="0.3">
      <c r="A57" s="20" t="s">
        <v>42</v>
      </c>
      <c r="B57" s="1" t="s">
        <v>33</v>
      </c>
      <c r="C57">
        <v>2</v>
      </c>
      <c r="D57" s="6" t="s">
        <v>44</v>
      </c>
      <c r="E57" t="s">
        <v>45</v>
      </c>
      <c r="F57" s="17">
        <v>275</v>
      </c>
      <c r="H57" s="8"/>
      <c r="K57" s="4"/>
    </row>
    <row r="58" spans="1:11" x14ac:dyDescent="0.3">
      <c r="A58" s="15" t="s">
        <v>77</v>
      </c>
      <c r="B58" s="1" t="s">
        <v>33</v>
      </c>
      <c r="C58">
        <v>1</v>
      </c>
      <c r="D58" s="16" t="s">
        <v>81</v>
      </c>
      <c r="E58" t="s">
        <v>33</v>
      </c>
      <c r="F58" s="17">
        <v>2530</v>
      </c>
      <c r="H58" s="8"/>
      <c r="K58" s="4"/>
    </row>
    <row r="59" spans="1:11" x14ac:dyDescent="0.3">
      <c r="A59" s="15" t="s">
        <v>78</v>
      </c>
      <c r="B59" s="1" t="s">
        <v>33</v>
      </c>
      <c r="C59">
        <v>1</v>
      </c>
      <c r="D59" s="16" t="s">
        <v>82</v>
      </c>
      <c r="E59" t="s">
        <v>33</v>
      </c>
      <c r="F59" s="17">
        <v>7150</v>
      </c>
      <c r="H59" s="8"/>
      <c r="K59" s="4"/>
    </row>
    <row r="60" spans="1:11" ht="17.25" thickBot="1" x14ac:dyDescent="0.35">
      <c r="A60" s="21" t="s">
        <v>80</v>
      </c>
      <c r="B60" s="22" t="s">
        <v>87</v>
      </c>
      <c r="C60" s="22" t="s">
        <v>97</v>
      </c>
      <c r="D60" s="23" t="s">
        <v>83</v>
      </c>
      <c r="E60" s="22" t="s">
        <v>93</v>
      </c>
      <c r="F60" s="24">
        <v>935</v>
      </c>
      <c r="H60" s="9"/>
      <c r="K60" s="4"/>
    </row>
    <row r="61" spans="1:11" x14ac:dyDescent="0.3">
      <c r="A61" t="s">
        <v>34</v>
      </c>
      <c r="B61" s="1" t="s">
        <v>35</v>
      </c>
      <c r="F61">
        <v>2700</v>
      </c>
      <c r="K61" s="4"/>
    </row>
    <row r="62" spans="1:11" x14ac:dyDescent="0.3">
      <c r="B62" s="1" t="s">
        <v>21</v>
      </c>
      <c r="F62">
        <v>2500</v>
      </c>
      <c r="K62" s="4"/>
    </row>
    <row r="63" spans="1:11" x14ac:dyDescent="0.3">
      <c r="B63" s="1" t="s">
        <v>10</v>
      </c>
      <c r="F63">
        <v>3500</v>
      </c>
      <c r="H63" s="9"/>
      <c r="K63" s="4"/>
    </row>
    <row r="64" spans="1:11" x14ac:dyDescent="0.3">
      <c r="G64"/>
      <c r="H64" s="37"/>
    </row>
    <row r="65" spans="2:11" x14ac:dyDescent="0.3">
      <c r="G65"/>
      <c r="H65" s="37"/>
    </row>
    <row r="66" spans="2:11" x14ac:dyDescent="0.3">
      <c r="G66"/>
      <c r="H66" s="8"/>
    </row>
    <row r="67" spans="2:11" x14ac:dyDescent="0.3">
      <c r="G67"/>
      <c r="H67" s="5"/>
    </row>
    <row r="68" spans="2:11" x14ac:dyDescent="0.3">
      <c r="K68" s="4"/>
    </row>
    <row r="69" spans="2:11" x14ac:dyDescent="0.3">
      <c r="H69" s="8"/>
      <c r="K69" s="4"/>
    </row>
    <row r="70" spans="2:11" x14ac:dyDescent="0.3">
      <c r="H70" s="5"/>
    </row>
    <row r="71" spans="2:11" x14ac:dyDescent="0.3">
      <c r="K71" s="4"/>
    </row>
    <row r="72" spans="2:11" x14ac:dyDescent="0.3">
      <c r="H72" s="8"/>
      <c r="K72" s="4"/>
    </row>
    <row r="73" spans="2:11" x14ac:dyDescent="0.3">
      <c r="H73" s="8"/>
      <c r="K73" s="4"/>
    </row>
    <row r="74" spans="2:11" x14ac:dyDescent="0.3">
      <c r="H74" s="8"/>
      <c r="K74" s="4"/>
    </row>
    <row r="75" spans="2:11" x14ac:dyDescent="0.3">
      <c r="H75" s="8"/>
      <c r="K75" s="4"/>
    </row>
    <row r="76" spans="2:11" x14ac:dyDescent="0.3">
      <c r="I76" s="8"/>
      <c r="K76" s="4"/>
    </row>
    <row r="77" spans="2:11" x14ac:dyDescent="0.3">
      <c r="I77" s="8"/>
    </row>
    <row r="78" spans="2:11" x14ac:dyDescent="0.3">
      <c r="B78" s="4"/>
      <c r="D78" s="8"/>
    </row>
    <row r="79" spans="2:11" x14ac:dyDescent="0.3">
      <c r="B79" s="4"/>
      <c r="D79" s="8"/>
    </row>
    <row r="80" spans="2:11" x14ac:dyDescent="0.3">
      <c r="B80" s="4"/>
      <c r="D80" s="8"/>
    </row>
    <row r="81" spans="2:7" x14ac:dyDescent="0.3">
      <c r="B81" s="4"/>
      <c r="D81" s="9"/>
    </row>
    <row r="82" spans="2:7" x14ac:dyDescent="0.3">
      <c r="B82" s="4"/>
    </row>
    <row r="83" spans="2:7" x14ac:dyDescent="0.3">
      <c r="B83" s="4"/>
    </row>
    <row r="84" spans="2:7" x14ac:dyDescent="0.3">
      <c r="B84" s="4"/>
      <c r="D84" s="9"/>
    </row>
    <row r="85" spans="2:7" x14ac:dyDescent="0.3">
      <c r="B85" s="4"/>
      <c r="D85" s="37"/>
      <c r="G85"/>
    </row>
    <row r="86" spans="2:7" x14ac:dyDescent="0.3">
      <c r="B86" s="4"/>
      <c r="D86" s="37"/>
      <c r="G86"/>
    </row>
    <row r="87" spans="2:7" x14ac:dyDescent="0.3">
      <c r="B87" s="4"/>
      <c r="D87" s="8"/>
      <c r="G87"/>
    </row>
    <row r="88" spans="2:7" x14ac:dyDescent="0.3">
      <c r="B88" s="4"/>
      <c r="D88" s="5"/>
      <c r="G88"/>
    </row>
    <row r="90" spans="2:7" x14ac:dyDescent="0.3">
      <c r="B90" s="4"/>
      <c r="D90" s="8"/>
    </row>
    <row r="91" spans="2:7" x14ac:dyDescent="0.3">
      <c r="B91" s="4"/>
      <c r="D91" s="5"/>
      <c r="G91"/>
    </row>
    <row r="93" spans="2:7" x14ac:dyDescent="0.3">
      <c r="D93" s="8"/>
    </row>
    <row r="94" spans="2:7" x14ac:dyDescent="0.3">
      <c r="D94" s="8"/>
    </row>
    <row r="95" spans="2:7" x14ac:dyDescent="0.3">
      <c r="D95" s="8"/>
    </row>
    <row r="96" spans="2:7" x14ac:dyDescent="0.3">
      <c r="D96" s="8"/>
    </row>
    <row r="97" spans="3:37" x14ac:dyDescent="0.3">
      <c r="E97" s="8"/>
    </row>
    <row r="98" spans="3:37" x14ac:dyDescent="0.3">
      <c r="C98" s="4"/>
      <c r="E98" s="8"/>
      <c r="G98"/>
    </row>
    <row r="99" spans="3:37" x14ac:dyDescent="0.3">
      <c r="C99" s="4"/>
      <c r="G99"/>
    </row>
    <row r="100" spans="3:37" x14ac:dyDescent="0.3">
      <c r="C100" s="4"/>
      <c r="G100"/>
    </row>
    <row r="101" spans="3:37" x14ac:dyDescent="0.3">
      <c r="C101" s="4"/>
      <c r="G101"/>
      <c r="AK101" s="4"/>
    </row>
    <row r="102" spans="3:37" x14ac:dyDescent="0.3">
      <c r="AK102" s="4"/>
    </row>
    <row r="112" spans="3:37" x14ac:dyDescent="0.3">
      <c r="K112" s="1"/>
      <c r="Q112" s="4"/>
    </row>
    <row r="113" spans="16:17" x14ac:dyDescent="0.3">
      <c r="Q113" s="7"/>
    </row>
    <row r="114" spans="16:17" x14ac:dyDescent="0.3">
      <c r="Q114" s="7"/>
    </row>
    <row r="115" spans="16:17" x14ac:dyDescent="0.3">
      <c r="Q115" s="7"/>
    </row>
    <row r="116" spans="16:17" x14ac:dyDescent="0.3">
      <c r="Q116" s="6"/>
    </row>
    <row r="117" spans="16:17" x14ac:dyDescent="0.3">
      <c r="Q117" s="7"/>
    </row>
    <row r="118" spans="16:17" x14ac:dyDescent="0.3">
      <c r="Q118" s="7"/>
    </row>
    <row r="119" spans="16:17" x14ac:dyDescent="0.3">
      <c r="Q119" s="7"/>
    </row>
    <row r="120" spans="16:17" x14ac:dyDescent="0.3">
      <c r="Q120" s="7"/>
    </row>
    <row r="121" spans="16:17" x14ac:dyDescent="0.3">
      <c r="Q121" s="7"/>
    </row>
    <row r="122" spans="16:17" x14ac:dyDescent="0.3">
      <c r="Q122" s="7"/>
    </row>
    <row r="123" spans="16:17" x14ac:dyDescent="0.3">
      <c r="Q123" s="7"/>
    </row>
    <row r="124" spans="16:17" x14ac:dyDescent="0.3">
      <c r="Q124" s="7"/>
    </row>
    <row r="125" spans="16:17" x14ac:dyDescent="0.3">
      <c r="P125" s="3"/>
      <c r="Q125" s="7"/>
    </row>
    <row r="126" spans="16:17" x14ac:dyDescent="0.3">
      <c r="Q126" s="7"/>
    </row>
    <row r="127" spans="16:17" x14ac:dyDescent="0.3">
      <c r="Q127" s="7"/>
    </row>
    <row r="128" spans="16:17" x14ac:dyDescent="0.3">
      <c r="P128" s="3"/>
      <c r="Q128" s="7"/>
    </row>
    <row r="129" spans="11:17" x14ac:dyDescent="0.3">
      <c r="P129" s="3"/>
      <c r="Q129" s="7"/>
    </row>
    <row r="130" spans="11:17" x14ac:dyDescent="0.3">
      <c r="Q130" s="7"/>
    </row>
    <row r="131" spans="11:17" x14ac:dyDescent="0.3">
      <c r="Q131" s="7"/>
    </row>
    <row r="132" spans="11:17" x14ac:dyDescent="0.3">
      <c r="L132" s="1"/>
      <c r="P132" s="3"/>
      <c r="Q132" s="7"/>
    </row>
    <row r="133" spans="11:17" x14ac:dyDescent="0.3">
      <c r="P133" s="3"/>
      <c r="Q133" s="36"/>
    </row>
    <row r="134" spans="11:17" x14ac:dyDescent="0.3">
      <c r="K134" s="1"/>
      <c r="L134" s="1"/>
      <c r="P134" s="3"/>
      <c r="Q134" s="36"/>
    </row>
    <row r="135" spans="11:17" x14ac:dyDescent="0.3">
      <c r="L135" s="1"/>
      <c r="P135" s="3"/>
    </row>
    <row r="136" spans="11:17" x14ac:dyDescent="0.3">
      <c r="L136" s="1"/>
    </row>
    <row r="137" spans="11:17" x14ac:dyDescent="0.3">
      <c r="L137" s="1"/>
    </row>
    <row r="138" spans="11:17" x14ac:dyDescent="0.3">
      <c r="L138" s="1"/>
    </row>
    <row r="146" spans="12:17" x14ac:dyDescent="0.3">
      <c r="L146" s="1"/>
      <c r="P146" s="3"/>
    </row>
    <row r="147" spans="12:17" x14ac:dyDescent="0.3">
      <c r="L147" s="1"/>
      <c r="N147" s="3"/>
      <c r="O147" s="1"/>
      <c r="P147" s="3"/>
    </row>
    <row r="151" spans="12:17" x14ac:dyDescent="0.3">
      <c r="L151" s="1"/>
      <c r="M151" s="1"/>
      <c r="N151" s="1"/>
      <c r="O151" s="1"/>
      <c r="P151" s="3"/>
    </row>
    <row r="152" spans="12:17" x14ac:dyDescent="0.3">
      <c r="Q152" s="4"/>
    </row>
    <row r="153" spans="12:17" x14ac:dyDescent="0.3">
      <c r="Q153" s="4"/>
    </row>
    <row r="154" spans="12:17" x14ac:dyDescent="0.3">
      <c r="Q154" s="4"/>
    </row>
    <row r="168" spans="1:3" x14ac:dyDescent="0.3">
      <c r="A168" s="4"/>
      <c r="C168" s="9"/>
    </row>
    <row r="169" spans="1:3" x14ac:dyDescent="0.3">
      <c r="A169" s="4"/>
    </row>
    <row r="179" spans="2:4" x14ac:dyDescent="0.3">
      <c r="B179" s="4"/>
    </row>
    <row r="180" spans="2:4" x14ac:dyDescent="0.3">
      <c r="B180" s="4"/>
      <c r="D180" s="8"/>
    </row>
    <row r="181" spans="2:4" x14ac:dyDescent="0.3">
      <c r="B181" s="4"/>
    </row>
    <row r="182" spans="2:4" x14ac:dyDescent="0.3">
      <c r="B182" s="4"/>
      <c r="D182" s="9"/>
    </row>
    <row r="183" spans="2:4" x14ac:dyDescent="0.3">
      <c r="B183" s="4"/>
    </row>
    <row r="184" spans="2:4" x14ac:dyDescent="0.3">
      <c r="B184" s="4"/>
    </row>
    <row r="185" spans="2:4" x14ac:dyDescent="0.3">
      <c r="B185" s="4"/>
      <c r="D185" s="9"/>
    </row>
    <row r="189" spans="2:4" x14ac:dyDescent="0.3">
      <c r="B189" s="4"/>
      <c r="D189" s="5"/>
    </row>
    <row r="191" spans="2:4" x14ac:dyDescent="0.3">
      <c r="B191" s="4"/>
      <c r="D191" s="8"/>
    </row>
    <row r="192" spans="2:4" x14ac:dyDescent="0.3">
      <c r="B192" s="4"/>
      <c r="D192" s="5"/>
    </row>
    <row r="239" spans="7:7" x14ac:dyDescent="0.3">
      <c r="G239"/>
    </row>
    <row r="240" spans="7:7" x14ac:dyDescent="0.3">
      <c r="G240"/>
    </row>
    <row r="241" spans="7:7" x14ac:dyDescent="0.3">
      <c r="G241"/>
    </row>
    <row r="242" spans="7:7" x14ac:dyDescent="0.3">
      <c r="G242"/>
    </row>
  </sheetData>
  <mergeCells count="5">
    <mergeCell ref="D25:D34"/>
    <mergeCell ref="D45:D47"/>
    <mergeCell ref="D85:D86"/>
    <mergeCell ref="Q133:Q134"/>
    <mergeCell ref="H64:H65"/>
  </mergeCells>
  <phoneticPr fontId="1" type="noConversion"/>
  <hyperlinks>
    <hyperlink ref="D49" r:id="rId1" display="https://www.11st.co.kr/products/2475047432?NaPm=ct=l75roit4|ci=f932db0520310e3065b7ae57756678b3c8c51ea6|tr=slct|sn=17703|hk=cb1d047cef103bcc1c7613dbf667e2ce9bfb09c4&amp;utm_term=&amp;utm_campaign=%B3%D7%C0%CC%B9%F6pc_%B0%A1%B0%DD%BA%F1%B1%B3%B1%E2%BA%BB&amp;utm_source=%B3%D7%C0%CC%B9%F6_PC_PCS&amp;utm_medium=%B0%A1%B0%DD%BA%F1%B1%B3"/>
    <hyperlink ref="D42" r:id="rId2"/>
    <hyperlink ref="D40" r:id="rId3"/>
    <hyperlink ref="D44" r:id="rId4"/>
    <hyperlink ref="D45" r:id="rId5"/>
    <hyperlink ref="D25" r:id="rId6"/>
    <hyperlink ref="D48" r:id="rId7"/>
    <hyperlink ref="D38" r:id="rId8"/>
    <hyperlink ref="D24" r:id="rId9"/>
    <hyperlink ref="D36" r:id="rId10"/>
    <hyperlink ref="D35" r:id="rId11"/>
    <hyperlink ref="D60" r:id="rId12"/>
    <hyperlink ref="D59" r:id="rId13"/>
    <hyperlink ref="D58" r:id="rId14"/>
    <hyperlink ref="D57" r:id="rId15"/>
    <hyperlink ref="D56" r:id="rId16"/>
    <hyperlink ref="D54" r:id="rId17"/>
    <hyperlink ref="D55" r:id="rId18"/>
  </hyperlinks>
  <pageMargins left="0.7" right="0.7" top="0.75" bottom="0.75" header="0.3" footer="0.3"/>
  <pageSetup paperSize="9" orientation="portrait"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21"/>
  <sheetViews>
    <sheetView zoomScale="70" zoomScaleNormal="70" workbookViewId="0">
      <selection activeCell="T25" sqref="T25"/>
    </sheetView>
  </sheetViews>
  <sheetFormatPr defaultColWidth="10.625" defaultRowHeight="16.5" x14ac:dyDescent="0.3"/>
  <cols>
    <col min="1" max="1" width="20.625" customWidth="1"/>
    <col min="2" max="2" width="19.875" style="1" customWidth="1"/>
    <col min="3" max="3" width="5.75" style="1" customWidth="1"/>
    <col min="4" max="4" width="7.75" style="1" customWidth="1"/>
    <col min="5" max="5" width="13.5" style="1" customWidth="1"/>
    <col min="6" max="6" width="13.875" style="1" customWidth="1"/>
    <col min="7" max="7" width="20.625" customWidth="1"/>
    <col min="8" max="8" width="9.125" customWidth="1"/>
    <col min="9" max="9" width="17.625" style="3" customWidth="1"/>
    <col min="10" max="10" width="20.625" style="32" customWidth="1"/>
    <col min="11" max="11" width="9.125" style="32" customWidth="1"/>
    <col min="12" max="12" width="11.125" customWidth="1"/>
    <col min="13" max="14" width="20.625" customWidth="1"/>
  </cols>
  <sheetData>
    <row r="1" spans="1:18" x14ac:dyDescent="0.3">
      <c r="A1" s="1" t="s">
        <v>111</v>
      </c>
      <c r="B1" s="31" t="s">
        <v>0</v>
      </c>
      <c r="C1" s="31" t="s">
        <v>1</v>
      </c>
      <c r="D1" s="31" t="s">
        <v>2</v>
      </c>
      <c r="E1" s="31" t="s">
        <v>112</v>
      </c>
      <c r="F1" s="31" t="s">
        <v>113</v>
      </c>
      <c r="G1" s="31" t="s">
        <v>20</v>
      </c>
      <c r="H1" s="31" t="s">
        <v>62</v>
      </c>
      <c r="I1" s="33" t="s">
        <v>114</v>
      </c>
      <c r="J1" s="34" t="s">
        <v>105</v>
      </c>
      <c r="K1" s="34" t="s">
        <v>115</v>
      </c>
      <c r="L1" s="1" t="s">
        <v>104</v>
      </c>
      <c r="M1" s="1" t="s">
        <v>106</v>
      </c>
      <c r="N1" t="s">
        <v>33</v>
      </c>
    </row>
    <row r="2" spans="1:18" x14ac:dyDescent="0.3">
      <c r="A2" t="s">
        <v>137</v>
      </c>
      <c r="B2" t="s">
        <v>94</v>
      </c>
      <c r="J2" s="1"/>
      <c r="K2" s="1"/>
      <c r="M2">
        <v>0</v>
      </c>
    </row>
    <row r="3" spans="1:18" x14ac:dyDescent="0.3">
      <c r="B3" s="18" t="s">
        <v>66</v>
      </c>
      <c r="D3">
        <v>10</v>
      </c>
      <c r="E3">
        <f>D:D * 5</f>
        <v>50</v>
      </c>
      <c r="F3">
        <f>E3</f>
        <v>50</v>
      </c>
      <c r="G3" s="16" t="s">
        <v>116</v>
      </c>
      <c r="H3">
        <v>10</v>
      </c>
      <c r="I3">
        <v>33</v>
      </c>
      <c r="J3" s="32">
        <f>I3*D3*M3</f>
        <v>330</v>
      </c>
      <c r="K3" s="32">
        <f>I3*F3*M3</f>
        <v>1650</v>
      </c>
      <c r="L3" s="4"/>
      <c r="M3">
        <v>1</v>
      </c>
    </row>
    <row r="4" spans="1:18" x14ac:dyDescent="0.3">
      <c r="B4">
        <v>8</v>
      </c>
      <c r="D4">
        <v>30</v>
      </c>
      <c r="E4">
        <f t="shared" ref="E4:E33" si="0">D:D * 5</f>
        <v>150</v>
      </c>
      <c r="F4">
        <f t="shared" ref="F4:F27" si="1">E4</f>
        <v>150</v>
      </c>
      <c r="G4" s="7" t="s">
        <v>117</v>
      </c>
      <c r="H4">
        <v>10</v>
      </c>
      <c r="I4">
        <v>66</v>
      </c>
      <c r="J4" s="32">
        <f>I4*D4*M4</f>
        <v>1980</v>
      </c>
      <c r="K4" s="32">
        <f t="shared" ref="K4:K33" si="2">I4*F4*M4</f>
        <v>9900</v>
      </c>
      <c r="L4" s="4"/>
      <c r="M4">
        <v>1</v>
      </c>
    </row>
    <row r="5" spans="1:18" x14ac:dyDescent="0.3">
      <c r="B5">
        <v>12</v>
      </c>
      <c r="D5">
        <v>10</v>
      </c>
      <c r="E5">
        <f t="shared" si="0"/>
        <v>50</v>
      </c>
      <c r="F5">
        <f t="shared" si="1"/>
        <v>50</v>
      </c>
      <c r="G5" s="7" t="s">
        <v>118</v>
      </c>
      <c r="H5">
        <v>10</v>
      </c>
      <c r="I5">
        <v>66</v>
      </c>
      <c r="J5" s="32">
        <f>I5*D5*M5</f>
        <v>660</v>
      </c>
      <c r="K5" s="32">
        <f t="shared" si="2"/>
        <v>3300</v>
      </c>
      <c r="L5" s="4"/>
      <c r="M5">
        <v>1</v>
      </c>
    </row>
    <row r="6" spans="1:18" x14ac:dyDescent="0.3">
      <c r="B6">
        <v>15</v>
      </c>
      <c r="D6">
        <v>10</v>
      </c>
      <c r="E6">
        <f t="shared" si="0"/>
        <v>50</v>
      </c>
      <c r="F6">
        <f t="shared" si="1"/>
        <v>50</v>
      </c>
      <c r="G6" s="7" t="s">
        <v>119</v>
      </c>
      <c r="H6">
        <v>10</v>
      </c>
      <c r="I6">
        <v>44</v>
      </c>
      <c r="J6" s="32">
        <f>I6*D6*M6</f>
        <v>440</v>
      </c>
      <c r="K6" s="32">
        <f t="shared" si="2"/>
        <v>2200</v>
      </c>
      <c r="L6" s="4"/>
      <c r="M6">
        <v>1</v>
      </c>
      <c r="O6" s="38">
        <f>SUM(K:K)</f>
        <v>1414880</v>
      </c>
      <c r="P6" s="38"/>
      <c r="Q6" s="38"/>
      <c r="R6" s="39" t="s">
        <v>105</v>
      </c>
    </row>
    <row r="7" spans="1:18" x14ac:dyDescent="0.3">
      <c r="B7">
        <v>20</v>
      </c>
      <c r="D7">
        <v>10</v>
      </c>
      <c r="E7">
        <f t="shared" si="0"/>
        <v>50</v>
      </c>
      <c r="F7">
        <f t="shared" si="1"/>
        <v>50</v>
      </c>
      <c r="G7" s="7" t="s">
        <v>120</v>
      </c>
      <c r="H7">
        <v>10</v>
      </c>
      <c r="I7">
        <v>66</v>
      </c>
      <c r="J7" s="32">
        <f>I7*D7*M7</f>
        <v>660</v>
      </c>
      <c r="K7" s="32">
        <f t="shared" si="2"/>
        <v>3300</v>
      </c>
      <c r="M7">
        <v>1</v>
      </c>
      <c r="O7" s="38"/>
      <c r="P7" s="38"/>
      <c r="Q7" s="38"/>
      <c r="R7" s="39"/>
    </row>
    <row r="8" spans="1:18" x14ac:dyDescent="0.3">
      <c r="B8" t="s">
        <v>24</v>
      </c>
      <c r="D8"/>
      <c r="E8">
        <f t="shared" si="0"/>
        <v>0</v>
      </c>
      <c r="F8"/>
      <c r="G8" s="7"/>
      <c r="I8"/>
      <c r="J8"/>
      <c r="K8"/>
      <c r="O8" s="38"/>
      <c r="P8" s="38"/>
      <c r="Q8" s="38"/>
      <c r="R8" s="39"/>
    </row>
    <row r="9" spans="1:18" x14ac:dyDescent="0.3">
      <c r="B9">
        <v>10</v>
      </c>
      <c r="D9">
        <v>10</v>
      </c>
      <c r="E9">
        <f t="shared" si="0"/>
        <v>50</v>
      </c>
      <c r="F9">
        <f t="shared" si="1"/>
        <v>50</v>
      </c>
      <c r="G9" s="7" t="s">
        <v>121</v>
      </c>
      <c r="H9">
        <v>10</v>
      </c>
      <c r="I9">
        <v>55</v>
      </c>
      <c r="J9" s="32">
        <f>I9*D9*M9</f>
        <v>550</v>
      </c>
      <c r="K9" s="32">
        <f t="shared" si="2"/>
        <v>2750</v>
      </c>
      <c r="M9">
        <v>1</v>
      </c>
      <c r="O9" s="38">
        <v>1500000</v>
      </c>
      <c r="P9" s="38"/>
      <c r="Q9" s="38"/>
      <c r="R9" s="39" t="s">
        <v>110</v>
      </c>
    </row>
    <row r="10" spans="1:18" x14ac:dyDescent="0.3">
      <c r="B10">
        <v>15</v>
      </c>
      <c r="D10">
        <v>20</v>
      </c>
      <c r="E10">
        <f t="shared" si="0"/>
        <v>100</v>
      </c>
      <c r="F10">
        <f t="shared" si="1"/>
        <v>100</v>
      </c>
      <c r="G10" s="7" t="s">
        <v>122</v>
      </c>
      <c r="H10">
        <v>10</v>
      </c>
      <c r="I10">
        <v>77</v>
      </c>
      <c r="J10" s="32">
        <f>I10*D10*M10</f>
        <v>1540</v>
      </c>
      <c r="K10" s="32">
        <f t="shared" si="2"/>
        <v>7700</v>
      </c>
      <c r="M10">
        <v>1</v>
      </c>
      <c r="O10" s="38"/>
      <c r="P10" s="38"/>
      <c r="Q10" s="38"/>
      <c r="R10" s="39"/>
    </row>
    <row r="11" spans="1:18" x14ac:dyDescent="0.3">
      <c r="B11" t="s">
        <v>23</v>
      </c>
      <c r="D11"/>
      <c r="E11">
        <f t="shared" si="0"/>
        <v>0</v>
      </c>
      <c r="F11"/>
      <c r="G11" s="7"/>
      <c r="I11"/>
      <c r="J11"/>
      <c r="K11"/>
      <c r="M11">
        <v>1</v>
      </c>
      <c r="O11" s="38"/>
      <c r="P11" s="38"/>
      <c r="Q11" s="38"/>
      <c r="R11" s="39"/>
    </row>
    <row r="12" spans="1:18" x14ac:dyDescent="0.3">
      <c r="B12">
        <v>45</v>
      </c>
      <c r="D12">
        <v>10</v>
      </c>
      <c r="E12">
        <f t="shared" si="0"/>
        <v>50</v>
      </c>
      <c r="F12">
        <f t="shared" si="1"/>
        <v>50</v>
      </c>
      <c r="G12" s="7" t="s">
        <v>123</v>
      </c>
      <c r="H12">
        <v>10</v>
      </c>
      <c r="I12">
        <v>220</v>
      </c>
      <c r="J12" s="32">
        <f>I12*D12*M12</f>
        <v>2200</v>
      </c>
      <c r="K12" s="32">
        <f t="shared" si="2"/>
        <v>11000</v>
      </c>
      <c r="M12">
        <v>1</v>
      </c>
    </row>
    <row r="13" spans="1:18" x14ac:dyDescent="0.3">
      <c r="B13">
        <v>60</v>
      </c>
      <c r="D13">
        <v>10</v>
      </c>
      <c r="E13">
        <f t="shared" si="0"/>
        <v>50</v>
      </c>
      <c r="F13">
        <f t="shared" si="1"/>
        <v>50</v>
      </c>
      <c r="G13" s="7" t="s">
        <v>124</v>
      </c>
      <c r="H13">
        <v>10</v>
      </c>
      <c r="I13">
        <v>320</v>
      </c>
      <c r="J13" s="32">
        <f>I13*D13*M13</f>
        <v>3200</v>
      </c>
      <c r="K13" s="32">
        <f t="shared" si="2"/>
        <v>16000</v>
      </c>
      <c r="M13">
        <v>1</v>
      </c>
    </row>
    <row r="14" spans="1:18" x14ac:dyDescent="0.3">
      <c r="B14"/>
      <c r="C14"/>
      <c r="D14"/>
      <c r="E14">
        <f t="shared" si="0"/>
        <v>0</v>
      </c>
      <c r="F14"/>
      <c r="I14"/>
      <c r="J14"/>
      <c r="K14"/>
    </row>
    <row r="15" spans="1:18" x14ac:dyDescent="0.3">
      <c r="A15" t="s">
        <v>136</v>
      </c>
      <c r="B15" t="s">
        <v>25</v>
      </c>
      <c r="D15">
        <v>30</v>
      </c>
      <c r="E15">
        <f t="shared" si="0"/>
        <v>150</v>
      </c>
      <c r="F15">
        <f t="shared" si="1"/>
        <v>150</v>
      </c>
      <c r="G15" s="7" t="s">
        <v>125</v>
      </c>
      <c r="H15">
        <v>10</v>
      </c>
      <c r="I15">
        <v>11</v>
      </c>
      <c r="J15" s="32">
        <f t="shared" ref="J15:J33" si="3">I15*D15*M15</f>
        <v>330</v>
      </c>
      <c r="K15" s="32">
        <f t="shared" si="2"/>
        <v>1650</v>
      </c>
      <c r="M15">
        <v>1</v>
      </c>
    </row>
    <row r="16" spans="1:18" ht="16.5" customHeight="1" x14ac:dyDescent="0.3">
      <c r="B16" t="s">
        <v>24</v>
      </c>
      <c r="D16">
        <v>10</v>
      </c>
      <c r="E16">
        <f t="shared" si="0"/>
        <v>50</v>
      </c>
      <c r="F16">
        <f t="shared" si="1"/>
        <v>50</v>
      </c>
      <c r="G16" s="7" t="s">
        <v>126</v>
      </c>
      <c r="H16">
        <v>10</v>
      </c>
      <c r="I16">
        <v>77</v>
      </c>
      <c r="J16" s="32">
        <f t="shared" si="3"/>
        <v>770</v>
      </c>
      <c r="K16" s="32">
        <f t="shared" si="2"/>
        <v>3850</v>
      </c>
      <c r="M16">
        <v>1</v>
      </c>
      <c r="O16" s="40" t="s">
        <v>153</v>
      </c>
      <c r="P16" s="40"/>
      <c r="Q16" s="40"/>
    </row>
    <row r="17" spans="1:17" x14ac:dyDescent="0.3">
      <c r="B17" t="s">
        <v>95</v>
      </c>
      <c r="D17">
        <v>10</v>
      </c>
      <c r="E17">
        <f t="shared" si="0"/>
        <v>50</v>
      </c>
      <c r="F17">
        <f t="shared" si="1"/>
        <v>50</v>
      </c>
      <c r="G17" s="16" t="s">
        <v>127</v>
      </c>
      <c r="H17">
        <v>10</v>
      </c>
      <c r="I17">
        <v>15.4</v>
      </c>
      <c r="J17" s="32">
        <f t="shared" si="3"/>
        <v>154</v>
      </c>
      <c r="K17" s="32">
        <f t="shared" si="2"/>
        <v>770</v>
      </c>
      <c r="M17">
        <v>1</v>
      </c>
      <c r="N17" s="7"/>
      <c r="O17" s="40"/>
      <c r="P17" s="40"/>
      <c r="Q17" s="40"/>
    </row>
    <row r="18" spans="1:17" x14ac:dyDescent="0.3">
      <c r="B18" t="s">
        <v>96</v>
      </c>
      <c r="D18">
        <v>10</v>
      </c>
      <c r="E18">
        <f t="shared" si="0"/>
        <v>50</v>
      </c>
      <c r="F18">
        <f t="shared" si="1"/>
        <v>50</v>
      </c>
      <c r="G18" s="7" t="s">
        <v>128</v>
      </c>
      <c r="H18">
        <v>10</v>
      </c>
      <c r="I18">
        <v>22</v>
      </c>
      <c r="J18" s="32">
        <f t="shared" si="3"/>
        <v>220</v>
      </c>
      <c r="K18" s="32">
        <f t="shared" si="2"/>
        <v>1100</v>
      </c>
      <c r="M18">
        <v>1</v>
      </c>
      <c r="N18" s="7"/>
      <c r="O18" s="40"/>
      <c r="P18" s="40"/>
      <c r="Q18" s="40"/>
    </row>
    <row r="19" spans="1:17" x14ac:dyDescent="0.3">
      <c r="A19" t="s">
        <v>151</v>
      </c>
      <c r="B19" t="s">
        <v>24</v>
      </c>
      <c r="D19">
        <v>20</v>
      </c>
      <c r="E19">
        <f t="shared" si="0"/>
        <v>100</v>
      </c>
      <c r="F19">
        <v>2</v>
      </c>
      <c r="G19" s="7" t="s">
        <v>12</v>
      </c>
      <c r="H19" t="s">
        <v>30</v>
      </c>
      <c r="I19">
        <v>500</v>
      </c>
      <c r="J19" s="32">
        <f t="shared" si="3"/>
        <v>10000</v>
      </c>
      <c r="K19" s="32">
        <f t="shared" si="2"/>
        <v>1000</v>
      </c>
      <c r="M19">
        <v>1</v>
      </c>
      <c r="N19" s="7"/>
      <c r="O19" s="40"/>
      <c r="P19" s="40"/>
      <c r="Q19" s="40"/>
    </row>
    <row r="20" spans="1:17" x14ac:dyDescent="0.3">
      <c r="B20" t="s">
        <v>23</v>
      </c>
      <c r="D20">
        <v>30</v>
      </c>
      <c r="E20">
        <f t="shared" si="0"/>
        <v>150</v>
      </c>
      <c r="F20">
        <v>3</v>
      </c>
      <c r="G20" s="10"/>
      <c r="H20" t="s">
        <v>30</v>
      </c>
      <c r="I20">
        <v>500</v>
      </c>
      <c r="J20" s="32">
        <f t="shared" si="3"/>
        <v>15000</v>
      </c>
      <c r="K20" s="32">
        <f t="shared" si="2"/>
        <v>1500</v>
      </c>
      <c r="M20">
        <v>1</v>
      </c>
      <c r="N20" s="7"/>
      <c r="O20" s="40"/>
      <c r="P20" s="40"/>
      <c r="Q20" s="40"/>
    </row>
    <row r="21" spans="1:17" x14ac:dyDescent="0.3">
      <c r="B21" t="s">
        <v>63</v>
      </c>
      <c r="D21">
        <v>10</v>
      </c>
      <c r="E21">
        <f t="shared" si="0"/>
        <v>50</v>
      </c>
      <c r="F21">
        <v>1</v>
      </c>
      <c r="G21" s="7" t="s">
        <v>36</v>
      </c>
      <c r="H21" s="19" t="s">
        <v>29</v>
      </c>
      <c r="I21">
        <v>2200</v>
      </c>
      <c r="J21" s="32">
        <f t="shared" si="3"/>
        <v>22000</v>
      </c>
      <c r="K21" s="32">
        <f t="shared" si="2"/>
        <v>2200</v>
      </c>
      <c r="M21">
        <v>1</v>
      </c>
      <c r="O21" s="40"/>
      <c r="P21" s="40"/>
      <c r="Q21" s="40"/>
    </row>
    <row r="22" spans="1:17" x14ac:dyDescent="0.3">
      <c r="B22" t="s">
        <v>64</v>
      </c>
      <c r="D22">
        <v>20</v>
      </c>
      <c r="E22">
        <f t="shared" si="0"/>
        <v>100</v>
      </c>
      <c r="F22">
        <v>1</v>
      </c>
      <c r="G22" s="7"/>
      <c r="H22" t="s">
        <v>29</v>
      </c>
      <c r="I22">
        <v>2200</v>
      </c>
      <c r="J22" s="32">
        <f t="shared" si="3"/>
        <v>44000</v>
      </c>
      <c r="K22" s="32">
        <f t="shared" si="2"/>
        <v>2200</v>
      </c>
      <c r="M22">
        <v>1</v>
      </c>
      <c r="O22" s="40"/>
      <c r="P22" s="40"/>
      <c r="Q22" s="40"/>
    </row>
    <row r="23" spans="1:17" x14ac:dyDescent="0.3">
      <c r="A23" s="1" t="s">
        <v>10</v>
      </c>
      <c r="B23" t="s">
        <v>18</v>
      </c>
      <c r="D23">
        <v>1</v>
      </c>
      <c r="E23">
        <f t="shared" si="0"/>
        <v>5</v>
      </c>
      <c r="F23">
        <f t="shared" si="1"/>
        <v>5</v>
      </c>
      <c r="G23" s="7" t="s">
        <v>129</v>
      </c>
      <c r="H23" t="s">
        <v>33</v>
      </c>
      <c r="I23">
        <v>4180</v>
      </c>
      <c r="J23" s="32">
        <f t="shared" si="3"/>
        <v>4180</v>
      </c>
      <c r="K23" s="32">
        <f t="shared" si="2"/>
        <v>20900</v>
      </c>
      <c r="M23">
        <v>1</v>
      </c>
      <c r="O23" s="40"/>
      <c r="P23" s="40"/>
      <c r="Q23" s="40"/>
    </row>
    <row r="24" spans="1:17" x14ac:dyDescent="0.3">
      <c r="A24" s="1"/>
      <c r="B24" t="s">
        <v>17</v>
      </c>
      <c r="D24">
        <v>18</v>
      </c>
      <c r="E24">
        <f t="shared" si="0"/>
        <v>90</v>
      </c>
      <c r="F24">
        <f t="shared" si="1"/>
        <v>90</v>
      </c>
      <c r="G24" s="7" t="s">
        <v>130</v>
      </c>
      <c r="H24" t="s">
        <v>33</v>
      </c>
      <c r="I24">
        <v>1760</v>
      </c>
      <c r="J24" s="32">
        <f t="shared" si="3"/>
        <v>31680</v>
      </c>
      <c r="K24" s="32">
        <f t="shared" si="2"/>
        <v>158400</v>
      </c>
      <c r="M24">
        <v>1</v>
      </c>
      <c r="O24" s="40"/>
      <c r="P24" s="40"/>
      <c r="Q24" s="40"/>
    </row>
    <row r="25" spans="1:17" x14ac:dyDescent="0.3">
      <c r="A25" s="1"/>
      <c r="B25" t="s">
        <v>16</v>
      </c>
      <c r="D25">
        <v>6</v>
      </c>
      <c r="E25">
        <f t="shared" si="0"/>
        <v>30</v>
      </c>
      <c r="F25">
        <f t="shared" si="1"/>
        <v>30</v>
      </c>
      <c r="G25" s="7" t="s">
        <v>131</v>
      </c>
      <c r="H25" t="s">
        <v>33</v>
      </c>
      <c r="I25">
        <v>1980</v>
      </c>
      <c r="J25" s="32">
        <f t="shared" si="3"/>
        <v>11880</v>
      </c>
      <c r="K25" s="32">
        <f t="shared" si="2"/>
        <v>59400</v>
      </c>
      <c r="M25">
        <v>1</v>
      </c>
      <c r="O25" s="40"/>
      <c r="P25" s="40"/>
      <c r="Q25" s="40"/>
    </row>
    <row r="26" spans="1:17" x14ac:dyDescent="0.3">
      <c r="A26" s="1"/>
      <c r="B26" t="s">
        <v>84</v>
      </c>
      <c r="D26">
        <v>12</v>
      </c>
      <c r="E26">
        <f t="shared" si="0"/>
        <v>60</v>
      </c>
      <c r="F26">
        <f t="shared" si="1"/>
        <v>60</v>
      </c>
      <c r="G26" s="7" t="s">
        <v>132</v>
      </c>
      <c r="H26" t="s">
        <v>33</v>
      </c>
      <c r="I26">
        <v>2090</v>
      </c>
      <c r="J26" s="32">
        <f t="shared" si="3"/>
        <v>25080</v>
      </c>
      <c r="K26" s="32">
        <f t="shared" si="2"/>
        <v>125400</v>
      </c>
      <c r="L26" s="3"/>
      <c r="M26">
        <v>1</v>
      </c>
      <c r="O26" s="40"/>
      <c r="P26" s="40"/>
      <c r="Q26" s="40"/>
    </row>
    <row r="27" spans="1:17" x14ac:dyDescent="0.3">
      <c r="A27" s="1"/>
      <c r="B27" s="4" t="s">
        <v>85</v>
      </c>
      <c r="D27">
        <v>1</v>
      </c>
      <c r="E27">
        <f t="shared" si="0"/>
        <v>5</v>
      </c>
      <c r="F27">
        <f t="shared" si="1"/>
        <v>5</v>
      </c>
      <c r="G27" s="16" t="s">
        <v>67</v>
      </c>
      <c r="H27" t="s">
        <v>33</v>
      </c>
      <c r="I27">
        <v>3190</v>
      </c>
      <c r="J27" s="32">
        <f t="shared" si="3"/>
        <v>3190</v>
      </c>
      <c r="K27" s="32">
        <f t="shared" si="2"/>
        <v>15950</v>
      </c>
      <c r="M27">
        <v>1</v>
      </c>
      <c r="N27" s="6"/>
      <c r="O27" s="40"/>
      <c r="P27" s="40"/>
      <c r="Q27" s="40"/>
    </row>
    <row r="28" spans="1:17" x14ac:dyDescent="0.3">
      <c r="E28">
        <f t="shared" si="0"/>
        <v>0</v>
      </c>
      <c r="N28" s="6"/>
    </row>
    <row r="29" spans="1:17" x14ac:dyDescent="0.3">
      <c r="E29">
        <f t="shared" si="0"/>
        <v>0</v>
      </c>
      <c r="N29" s="7"/>
    </row>
    <row r="30" spans="1:17" x14ac:dyDescent="0.3">
      <c r="A30" s="1"/>
      <c r="D30"/>
      <c r="E30"/>
      <c r="F30"/>
      <c r="L30" s="3"/>
      <c r="N30" s="4"/>
    </row>
    <row r="31" spans="1:17" x14ac:dyDescent="0.3">
      <c r="A31" s="1" t="s">
        <v>150</v>
      </c>
      <c r="B31" s="1" t="s">
        <v>145</v>
      </c>
      <c r="D31" s="1">
        <v>1</v>
      </c>
      <c r="E31">
        <f t="shared" si="0"/>
        <v>5</v>
      </c>
      <c r="F31">
        <f>E31</f>
        <v>5</v>
      </c>
      <c r="G31" s="8" t="s">
        <v>146</v>
      </c>
      <c r="H31" t="s">
        <v>33</v>
      </c>
      <c r="I31" s="3">
        <v>6160</v>
      </c>
      <c r="J31" s="32">
        <f t="shared" si="3"/>
        <v>6160</v>
      </c>
      <c r="K31" s="32">
        <f t="shared" si="2"/>
        <v>30800</v>
      </c>
      <c r="L31" s="3"/>
      <c r="M31">
        <v>1</v>
      </c>
    </row>
    <row r="32" spans="1:17" x14ac:dyDescent="0.3">
      <c r="B32" s="1" t="s">
        <v>147</v>
      </c>
      <c r="C32"/>
      <c r="D32" s="1">
        <v>1</v>
      </c>
      <c r="E32">
        <f t="shared" si="0"/>
        <v>5</v>
      </c>
      <c r="F32">
        <f>E32</f>
        <v>5</v>
      </c>
      <c r="G32" s="8" t="s">
        <v>152</v>
      </c>
      <c r="H32" t="s">
        <v>33</v>
      </c>
      <c r="I32" s="3">
        <v>7700</v>
      </c>
      <c r="J32" s="32">
        <f t="shared" si="3"/>
        <v>7700</v>
      </c>
      <c r="K32" s="32">
        <f t="shared" si="2"/>
        <v>38500</v>
      </c>
      <c r="M32">
        <v>1</v>
      </c>
    </row>
    <row r="33" spans="1:18" x14ac:dyDescent="0.3">
      <c r="B33" s="1" t="s">
        <v>148</v>
      </c>
      <c r="C33" s="6"/>
      <c r="D33" s="1">
        <v>1</v>
      </c>
      <c r="E33">
        <f t="shared" si="0"/>
        <v>5</v>
      </c>
      <c r="F33">
        <f>E33</f>
        <v>5</v>
      </c>
      <c r="G33" s="8" t="s">
        <v>149</v>
      </c>
      <c r="H33" t="s">
        <v>33</v>
      </c>
      <c r="I33" s="3">
        <v>45430</v>
      </c>
      <c r="J33" s="32">
        <f t="shared" si="3"/>
        <v>45430</v>
      </c>
      <c r="K33" s="32">
        <f t="shared" si="2"/>
        <v>227150</v>
      </c>
      <c r="M33">
        <v>1</v>
      </c>
    </row>
    <row r="34" spans="1:18" x14ac:dyDescent="0.3">
      <c r="E34"/>
    </row>
    <row r="35" spans="1:18" x14ac:dyDescent="0.3">
      <c r="E35"/>
    </row>
    <row r="36" spans="1:18" x14ac:dyDescent="0.3">
      <c r="E36"/>
    </row>
    <row r="37" spans="1:18" x14ac:dyDescent="0.3">
      <c r="A37" s="1" t="s">
        <v>3</v>
      </c>
      <c r="B37" s="1" t="s">
        <v>4</v>
      </c>
      <c r="D37">
        <v>3</v>
      </c>
      <c r="E37">
        <f t="shared" ref="E37:E51" si="4">D:D * 5</f>
        <v>15</v>
      </c>
      <c r="F37">
        <f t="shared" ref="F37:F44" si="5">E37</f>
        <v>15</v>
      </c>
      <c r="G37" s="28" t="s">
        <v>11</v>
      </c>
      <c r="H37" t="s">
        <v>33</v>
      </c>
      <c r="I37">
        <v>8700</v>
      </c>
      <c r="J37" s="32">
        <f t="shared" ref="J37:J51" si="6">I37*D37*M37</f>
        <v>26100</v>
      </c>
      <c r="K37" s="32">
        <f t="shared" ref="K37:K48" si="7">I37*F37*M37</f>
        <v>130500</v>
      </c>
      <c r="M37">
        <v>1</v>
      </c>
      <c r="N37" s="4"/>
    </row>
    <row r="38" spans="1:18" x14ac:dyDescent="0.3">
      <c r="A38" s="1" t="s">
        <v>5</v>
      </c>
      <c r="B38" s="1" t="s">
        <v>79</v>
      </c>
      <c r="D38">
        <v>1</v>
      </c>
      <c r="E38">
        <f t="shared" si="4"/>
        <v>5</v>
      </c>
      <c r="F38">
        <f t="shared" si="5"/>
        <v>5</v>
      </c>
      <c r="G38" s="16" t="s">
        <v>134</v>
      </c>
      <c r="H38" t="s">
        <v>33</v>
      </c>
      <c r="I38">
        <v>59400</v>
      </c>
      <c r="J38" s="32">
        <f t="shared" si="6"/>
        <v>59400</v>
      </c>
      <c r="K38" s="32">
        <f t="shared" si="7"/>
        <v>297000</v>
      </c>
      <c r="M38">
        <v>1</v>
      </c>
      <c r="N38" s="4"/>
    </row>
    <row r="39" spans="1:18" x14ac:dyDescent="0.3">
      <c r="A39" s="1" t="s">
        <v>140</v>
      </c>
      <c r="B39" s="1" t="s">
        <v>101</v>
      </c>
      <c r="D39">
        <v>1</v>
      </c>
      <c r="E39">
        <f t="shared" si="4"/>
        <v>5</v>
      </c>
      <c r="F39">
        <f t="shared" si="5"/>
        <v>5</v>
      </c>
      <c r="G39" s="2" t="s">
        <v>133</v>
      </c>
      <c r="H39" t="s">
        <v>33</v>
      </c>
      <c r="I39">
        <v>1870</v>
      </c>
      <c r="J39" s="32">
        <f t="shared" si="6"/>
        <v>1870</v>
      </c>
      <c r="K39" s="32">
        <f t="shared" si="7"/>
        <v>9350</v>
      </c>
      <c r="M39">
        <v>1</v>
      </c>
      <c r="N39" s="4"/>
    </row>
    <row r="40" spans="1:18" x14ac:dyDescent="0.3">
      <c r="A40" s="1" t="s">
        <v>6</v>
      </c>
      <c r="B40" s="1" t="s">
        <v>7</v>
      </c>
      <c r="D40">
        <v>4</v>
      </c>
      <c r="E40">
        <f t="shared" si="4"/>
        <v>20</v>
      </c>
      <c r="F40">
        <f t="shared" si="5"/>
        <v>20</v>
      </c>
      <c r="G40" s="2" t="s">
        <v>135</v>
      </c>
      <c r="H40" t="s">
        <v>33</v>
      </c>
      <c r="I40">
        <v>1980</v>
      </c>
      <c r="J40" s="32">
        <f t="shared" si="6"/>
        <v>7920</v>
      </c>
      <c r="K40" s="32">
        <f t="shared" si="7"/>
        <v>39600</v>
      </c>
      <c r="L40" s="3"/>
      <c r="M40">
        <v>1</v>
      </c>
    </row>
    <row r="41" spans="1:18" x14ac:dyDescent="0.3">
      <c r="A41" s="1" t="s">
        <v>8</v>
      </c>
      <c r="B41" t="s">
        <v>9</v>
      </c>
      <c r="D41">
        <v>1</v>
      </c>
      <c r="E41">
        <f t="shared" si="4"/>
        <v>5</v>
      </c>
      <c r="F41">
        <f t="shared" si="5"/>
        <v>5</v>
      </c>
      <c r="G41" s="2" t="s">
        <v>14</v>
      </c>
      <c r="H41" t="s">
        <v>33</v>
      </c>
      <c r="I41">
        <v>2200</v>
      </c>
      <c r="J41" s="32">
        <f t="shared" si="6"/>
        <v>2200</v>
      </c>
      <c r="K41" s="32">
        <f t="shared" si="7"/>
        <v>11000</v>
      </c>
      <c r="L41" s="3"/>
      <c r="M41">
        <v>1</v>
      </c>
    </row>
    <row r="42" spans="1:18" x14ac:dyDescent="0.3">
      <c r="A42" s="1" t="s">
        <v>37</v>
      </c>
      <c r="B42">
        <v>2.54</v>
      </c>
      <c r="D42">
        <v>10</v>
      </c>
      <c r="E42">
        <f t="shared" si="4"/>
        <v>50</v>
      </c>
      <c r="F42">
        <f t="shared" si="5"/>
        <v>50</v>
      </c>
      <c r="G42" s="6" t="s">
        <v>38</v>
      </c>
      <c r="H42" t="s">
        <v>32</v>
      </c>
      <c r="I42">
        <v>44</v>
      </c>
      <c r="J42" s="32">
        <f t="shared" si="6"/>
        <v>440</v>
      </c>
      <c r="K42" s="32">
        <f t="shared" si="7"/>
        <v>2200</v>
      </c>
      <c r="M42">
        <v>1</v>
      </c>
    </row>
    <row r="43" spans="1:18" x14ac:dyDescent="0.3">
      <c r="A43" s="1" t="s">
        <v>39</v>
      </c>
      <c r="B43" s="1" t="s">
        <v>40</v>
      </c>
      <c r="D43">
        <v>1</v>
      </c>
      <c r="E43">
        <f t="shared" si="4"/>
        <v>5</v>
      </c>
      <c r="F43">
        <f t="shared" si="5"/>
        <v>5</v>
      </c>
      <c r="G43" s="6" t="s">
        <v>107</v>
      </c>
      <c r="H43" t="s">
        <v>33</v>
      </c>
      <c r="I43">
        <v>20900</v>
      </c>
      <c r="J43" s="32">
        <f t="shared" si="6"/>
        <v>20900</v>
      </c>
      <c r="K43" s="32">
        <f t="shared" si="7"/>
        <v>104500</v>
      </c>
      <c r="M43">
        <v>1</v>
      </c>
    </row>
    <row r="44" spans="1:18" x14ac:dyDescent="0.3">
      <c r="A44" s="1" t="s">
        <v>41</v>
      </c>
      <c r="B44" s="1" t="s">
        <v>33</v>
      </c>
      <c r="D44">
        <v>1</v>
      </c>
      <c r="E44">
        <f t="shared" si="4"/>
        <v>5</v>
      </c>
      <c r="F44">
        <f t="shared" si="5"/>
        <v>5</v>
      </c>
      <c r="G44" s="6" t="s">
        <v>43</v>
      </c>
      <c r="H44" t="s">
        <v>33</v>
      </c>
      <c r="I44">
        <v>2420</v>
      </c>
      <c r="J44" s="32">
        <f t="shared" si="6"/>
        <v>2420</v>
      </c>
      <c r="K44" s="32">
        <f t="shared" si="7"/>
        <v>12100</v>
      </c>
      <c r="M44">
        <v>1</v>
      </c>
    </row>
    <row r="45" spans="1:18" x14ac:dyDescent="0.3">
      <c r="A45" t="s">
        <v>78</v>
      </c>
      <c r="B45" s="1" t="s">
        <v>33</v>
      </c>
      <c r="D45">
        <v>1</v>
      </c>
      <c r="E45">
        <f t="shared" si="4"/>
        <v>5</v>
      </c>
      <c r="F45">
        <v>1</v>
      </c>
      <c r="G45" s="16" t="s">
        <v>82</v>
      </c>
      <c r="H45" t="s">
        <v>33</v>
      </c>
      <c r="I45">
        <v>7150</v>
      </c>
      <c r="J45" s="32">
        <f t="shared" si="6"/>
        <v>7150</v>
      </c>
      <c r="K45" s="32">
        <f t="shared" si="7"/>
        <v>7150</v>
      </c>
      <c r="M45">
        <v>1</v>
      </c>
    </row>
    <row r="46" spans="1:18" x14ac:dyDescent="0.3">
      <c r="A46" t="s">
        <v>80</v>
      </c>
      <c r="B46" t="s">
        <v>87</v>
      </c>
      <c r="D46">
        <v>1</v>
      </c>
      <c r="E46">
        <f t="shared" si="4"/>
        <v>5</v>
      </c>
      <c r="F46" s="1">
        <v>3</v>
      </c>
      <c r="G46" s="16" t="s">
        <v>83</v>
      </c>
      <c r="H46" t="s">
        <v>93</v>
      </c>
      <c r="I46">
        <v>935</v>
      </c>
      <c r="J46" s="32">
        <f t="shared" si="6"/>
        <v>935</v>
      </c>
      <c r="K46" s="32">
        <f t="shared" si="7"/>
        <v>2805</v>
      </c>
      <c r="M46">
        <v>1</v>
      </c>
      <c r="P46" s="18"/>
      <c r="R46" s="16"/>
    </row>
    <row r="47" spans="1:18" x14ac:dyDescent="0.3">
      <c r="B47" s="1" t="s">
        <v>143</v>
      </c>
      <c r="D47" s="1">
        <v>1</v>
      </c>
      <c r="E47">
        <f t="shared" si="4"/>
        <v>5</v>
      </c>
      <c r="F47" s="1">
        <v>3</v>
      </c>
      <c r="G47" s="8" t="s">
        <v>109</v>
      </c>
      <c r="H47" t="s">
        <v>93</v>
      </c>
      <c r="I47">
        <v>935</v>
      </c>
      <c r="J47" s="32">
        <f t="shared" si="6"/>
        <v>935</v>
      </c>
      <c r="K47" s="32">
        <f t="shared" si="7"/>
        <v>2805</v>
      </c>
      <c r="M47">
        <v>1</v>
      </c>
      <c r="R47" s="7"/>
    </row>
    <row r="48" spans="1:18" x14ac:dyDescent="0.3">
      <c r="B48" s="1" t="s">
        <v>108</v>
      </c>
      <c r="D48" s="1">
        <v>1</v>
      </c>
      <c r="E48">
        <f t="shared" si="4"/>
        <v>5</v>
      </c>
      <c r="F48" s="1">
        <v>3</v>
      </c>
      <c r="G48" s="8" t="s">
        <v>144</v>
      </c>
      <c r="H48" t="s">
        <v>93</v>
      </c>
      <c r="I48">
        <v>935</v>
      </c>
      <c r="J48" s="32">
        <f t="shared" si="6"/>
        <v>935</v>
      </c>
      <c r="K48" s="32">
        <f t="shared" si="7"/>
        <v>2805</v>
      </c>
      <c r="M48">
        <v>1</v>
      </c>
      <c r="R48" s="7"/>
    </row>
    <row r="49" spans="1:19" x14ac:dyDescent="0.3">
      <c r="A49" s="1" t="s">
        <v>42</v>
      </c>
      <c r="B49" s="1" t="s">
        <v>33</v>
      </c>
      <c r="D49">
        <v>1</v>
      </c>
      <c r="E49">
        <f t="shared" si="4"/>
        <v>5</v>
      </c>
      <c r="F49" s="1">
        <v>1</v>
      </c>
      <c r="G49" s="6" t="s">
        <v>44</v>
      </c>
      <c r="H49" t="s">
        <v>45</v>
      </c>
      <c r="I49">
        <v>275</v>
      </c>
      <c r="J49" s="32">
        <f t="shared" si="6"/>
        <v>275</v>
      </c>
      <c r="K49" s="32">
        <f t="shared" ref="K49:K51" si="8">I49*F49*M49</f>
        <v>275</v>
      </c>
      <c r="M49">
        <v>1</v>
      </c>
      <c r="R49" s="7"/>
    </row>
    <row r="50" spans="1:19" x14ac:dyDescent="0.3">
      <c r="A50" s="1" t="s">
        <v>138</v>
      </c>
      <c r="D50">
        <v>3</v>
      </c>
      <c r="E50">
        <f t="shared" si="4"/>
        <v>15</v>
      </c>
      <c r="F50">
        <f>E50</f>
        <v>15</v>
      </c>
      <c r="G50" s="6" t="s">
        <v>139</v>
      </c>
      <c r="H50" t="s">
        <v>33</v>
      </c>
      <c r="I50">
        <v>1100</v>
      </c>
      <c r="J50" s="32">
        <f t="shared" si="6"/>
        <v>3300</v>
      </c>
      <c r="K50" s="32">
        <f t="shared" si="8"/>
        <v>16500</v>
      </c>
      <c r="M50">
        <v>1</v>
      </c>
      <c r="R50" s="7"/>
    </row>
    <row r="51" spans="1:19" x14ac:dyDescent="0.3">
      <c r="A51" s="1" t="s">
        <v>103</v>
      </c>
      <c r="B51" s="1" t="s">
        <v>141</v>
      </c>
      <c r="D51" s="1">
        <v>1</v>
      </c>
      <c r="E51">
        <f t="shared" si="4"/>
        <v>5</v>
      </c>
      <c r="F51" s="1">
        <v>6</v>
      </c>
      <c r="G51" s="8" t="s">
        <v>142</v>
      </c>
      <c r="H51" t="s">
        <v>33</v>
      </c>
      <c r="I51" s="3">
        <v>4620</v>
      </c>
      <c r="J51" s="32">
        <f t="shared" si="6"/>
        <v>4620</v>
      </c>
      <c r="K51" s="32">
        <f t="shared" si="8"/>
        <v>27720</v>
      </c>
      <c r="M51">
        <v>1</v>
      </c>
      <c r="R51" s="7"/>
    </row>
    <row r="52" spans="1:19" x14ac:dyDescent="0.3">
      <c r="E52"/>
      <c r="R52" s="7"/>
    </row>
    <row r="53" spans="1:19" x14ac:dyDescent="0.3">
      <c r="E53"/>
      <c r="R53" s="7"/>
    </row>
    <row r="54" spans="1:19" x14ac:dyDescent="0.3">
      <c r="A54" s="1"/>
      <c r="C54" s="16"/>
      <c r="D54"/>
      <c r="E54"/>
      <c r="F54" s="32"/>
      <c r="R54" s="7"/>
    </row>
    <row r="55" spans="1:19" x14ac:dyDescent="0.3">
      <c r="A55" s="1"/>
      <c r="C55"/>
      <c r="D55"/>
      <c r="E55"/>
      <c r="F55" s="32"/>
      <c r="R55" s="7"/>
    </row>
    <row r="56" spans="1:19" x14ac:dyDescent="0.3">
      <c r="R56" s="7"/>
    </row>
    <row r="57" spans="1:19" x14ac:dyDescent="0.3">
      <c r="P57" s="18"/>
      <c r="R57" s="7"/>
    </row>
    <row r="58" spans="1:19" x14ac:dyDescent="0.3">
      <c r="R58" s="7"/>
    </row>
    <row r="59" spans="1:19" x14ac:dyDescent="0.3">
      <c r="R59" s="7"/>
    </row>
    <row r="60" spans="1:19" x14ac:dyDescent="0.3">
      <c r="R60" s="16"/>
    </row>
    <row r="61" spans="1:19" x14ac:dyDescent="0.3">
      <c r="R61" s="7"/>
    </row>
    <row r="62" spans="1:19" x14ac:dyDescent="0.3">
      <c r="R62" s="7"/>
    </row>
    <row r="63" spans="1:19" x14ac:dyDescent="0.3">
      <c r="R63" s="10"/>
    </row>
    <row r="64" spans="1:19" x14ac:dyDescent="0.3">
      <c r="R64" s="7"/>
      <c r="S64" s="19"/>
    </row>
    <row r="65" spans="1:41" x14ac:dyDescent="0.3">
      <c r="R65" s="7"/>
    </row>
    <row r="66" spans="1:41" x14ac:dyDescent="0.3">
      <c r="O66" s="1"/>
      <c r="R66" s="7"/>
    </row>
    <row r="67" spans="1:41" x14ac:dyDescent="0.3">
      <c r="O67" s="1"/>
      <c r="R67" s="7"/>
    </row>
    <row r="68" spans="1:41" x14ac:dyDescent="0.3">
      <c r="O68" s="1"/>
      <c r="R68" s="7"/>
    </row>
    <row r="69" spans="1:41" x14ac:dyDescent="0.3">
      <c r="O69" s="1"/>
      <c r="R69" s="7"/>
    </row>
    <row r="70" spans="1:41" x14ac:dyDescent="0.3">
      <c r="O70" s="1"/>
      <c r="P70" s="4"/>
      <c r="R70" s="16"/>
    </row>
    <row r="71" spans="1:41" x14ac:dyDescent="0.3">
      <c r="A71" s="1"/>
      <c r="C71" s="16"/>
      <c r="D71"/>
      <c r="E71"/>
      <c r="F71" s="32"/>
      <c r="G71" s="4"/>
      <c r="J71" s="3"/>
      <c r="K71" s="3"/>
      <c r="L71" s="3"/>
      <c r="O71" s="1"/>
      <c r="P71" s="1"/>
      <c r="R71" s="3"/>
    </row>
    <row r="72" spans="1:41" x14ac:dyDescent="0.3">
      <c r="A72" s="1"/>
      <c r="C72"/>
      <c r="D72"/>
      <c r="E72"/>
      <c r="F72" s="32"/>
      <c r="G72" s="4"/>
      <c r="O72" s="1"/>
      <c r="P72" s="1"/>
      <c r="R72" s="16"/>
    </row>
    <row r="73" spans="1:41" x14ac:dyDescent="0.3">
      <c r="A73" s="1"/>
      <c r="C73" s="6"/>
      <c r="D73"/>
      <c r="E73" s="3"/>
      <c r="F73" s="32"/>
      <c r="O73" s="1"/>
      <c r="P73" s="1"/>
      <c r="R73" s="2"/>
    </row>
    <row r="74" spans="1:41" x14ac:dyDescent="0.3">
      <c r="A74" s="1"/>
      <c r="C74" s="8"/>
      <c r="D74"/>
      <c r="E74" s="3"/>
      <c r="F74" s="32"/>
      <c r="O74" s="1"/>
      <c r="R74" s="2"/>
    </row>
    <row r="75" spans="1:41" x14ac:dyDescent="0.3">
      <c r="A75" s="1"/>
      <c r="C75"/>
      <c r="D75"/>
      <c r="E75" s="3"/>
      <c r="F75" s="32"/>
      <c r="G75" s="3"/>
      <c r="O75" s="1"/>
      <c r="R75" s="6"/>
    </row>
    <row r="76" spans="1:41" x14ac:dyDescent="0.3">
      <c r="J76" s="3"/>
      <c r="O76" s="1"/>
      <c r="P76" s="1"/>
      <c r="R76" s="6"/>
    </row>
    <row r="77" spans="1:41" x14ac:dyDescent="0.3">
      <c r="J77" s="3"/>
      <c r="K77" s="3"/>
      <c r="O77" s="1"/>
      <c r="P77" s="1"/>
      <c r="R77" s="6"/>
    </row>
    <row r="78" spans="1:41" x14ac:dyDescent="0.3">
      <c r="J78" s="3"/>
      <c r="K78" s="3"/>
      <c r="O78" s="1"/>
      <c r="P78" s="1"/>
      <c r="R78" s="6"/>
    </row>
    <row r="79" spans="1:41" x14ac:dyDescent="0.3">
      <c r="J79" s="3"/>
      <c r="K79" s="3"/>
      <c r="P79" s="1"/>
      <c r="R79" s="16"/>
    </row>
    <row r="80" spans="1:41" x14ac:dyDescent="0.3">
      <c r="J80" s="3"/>
      <c r="K80" s="3"/>
      <c r="P80" s="1"/>
      <c r="R80" s="16"/>
      <c r="AO80" s="4"/>
    </row>
    <row r="81" spans="15:41" x14ac:dyDescent="0.3">
      <c r="R81" s="16"/>
      <c r="AO81" s="4"/>
    </row>
    <row r="83" spans="15:41" x14ac:dyDescent="0.3">
      <c r="P83" s="1"/>
    </row>
    <row r="84" spans="15:41" x14ac:dyDescent="0.3">
      <c r="P84" s="1"/>
    </row>
    <row r="85" spans="15:41" x14ac:dyDescent="0.3">
      <c r="P85" s="1"/>
    </row>
    <row r="91" spans="15:41" x14ac:dyDescent="0.3">
      <c r="O91" s="1"/>
      <c r="U91" s="4"/>
    </row>
    <row r="92" spans="15:41" x14ac:dyDescent="0.3">
      <c r="U92" s="7"/>
    </row>
    <row r="93" spans="15:41" x14ac:dyDescent="0.3">
      <c r="U93" s="7"/>
    </row>
    <row r="94" spans="15:41" x14ac:dyDescent="0.3">
      <c r="U94" s="7"/>
    </row>
    <row r="95" spans="15:41" x14ac:dyDescent="0.3">
      <c r="U95" s="6"/>
    </row>
    <row r="96" spans="15:41" x14ac:dyDescent="0.3">
      <c r="U96" s="7"/>
    </row>
    <row r="97" spans="16:21" x14ac:dyDescent="0.3">
      <c r="U97" s="7"/>
    </row>
    <row r="98" spans="16:21" x14ac:dyDescent="0.3">
      <c r="U98" s="7"/>
    </row>
    <row r="99" spans="16:21" x14ac:dyDescent="0.3">
      <c r="U99" s="7"/>
    </row>
    <row r="100" spans="16:21" x14ac:dyDescent="0.3">
      <c r="U100" s="7"/>
    </row>
    <row r="101" spans="16:21" x14ac:dyDescent="0.3">
      <c r="U101" s="7"/>
    </row>
    <row r="102" spans="16:21" x14ac:dyDescent="0.3">
      <c r="U102" s="7"/>
    </row>
    <row r="103" spans="16:21" x14ac:dyDescent="0.3">
      <c r="U103" s="7"/>
    </row>
    <row r="104" spans="16:21" x14ac:dyDescent="0.3">
      <c r="T104" s="3"/>
      <c r="U104" s="7"/>
    </row>
    <row r="105" spans="16:21" x14ac:dyDescent="0.3">
      <c r="U105" s="7"/>
    </row>
    <row r="106" spans="16:21" x14ac:dyDescent="0.3">
      <c r="U106" s="7"/>
    </row>
    <row r="107" spans="16:21" x14ac:dyDescent="0.3">
      <c r="T107" s="3"/>
      <c r="U107" s="7"/>
    </row>
    <row r="108" spans="16:21" x14ac:dyDescent="0.3">
      <c r="T108" s="3"/>
      <c r="U108" s="7"/>
    </row>
    <row r="109" spans="16:21" x14ac:dyDescent="0.3">
      <c r="U109" s="7"/>
    </row>
    <row r="110" spans="16:21" x14ac:dyDescent="0.3">
      <c r="U110" s="7"/>
    </row>
    <row r="111" spans="16:21" x14ac:dyDescent="0.3">
      <c r="P111" s="1"/>
      <c r="T111" s="3"/>
      <c r="U111" s="7"/>
    </row>
    <row r="112" spans="16:21" x14ac:dyDescent="0.3">
      <c r="T112" s="3"/>
      <c r="U112" s="36"/>
    </row>
    <row r="113" spans="15:21" x14ac:dyDescent="0.3">
      <c r="O113" s="1"/>
      <c r="P113" s="1"/>
      <c r="T113" s="3"/>
      <c r="U113" s="36"/>
    </row>
    <row r="114" spans="15:21" x14ac:dyDescent="0.3">
      <c r="P114" s="1"/>
      <c r="T114" s="3"/>
    </row>
    <row r="115" spans="15:21" x14ac:dyDescent="0.3">
      <c r="P115" s="1"/>
    </row>
    <row r="116" spans="15:21" x14ac:dyDescent="0.3">
      <c r="P116" s="1"/>
    </row>
    <row r="117" spans="15:21" x14ac:dyDescent="0.3">
      <c r="P117" s="1"/>
    </row>
    <row r="125" spans="15:21" x14ac:dyDescent="0.3">
      <c r="P125" s="1"/>
      <c r="T125" s="3"/>
    </row>
    <row r="126" spans="15:21" x14ac:dyDescent="0.3">
      <c r="P126" s="1"/>
      <c r="R126" s="3"/>
      <c r="S126" s="1"/>
      <c r="T126" s="3"/>
    </row>
    <row r="130" spans="16:21" x14ac:dyDescent="0.3">
      <c r="P130" s="1"/>
      <c r="Q130" s="1"/>
      <c r="R130" s="1"/>
      <c r="S130" s="1"/>
      <c r="T130" s="3"/>
    </row>
    <row r="131" spans="16:21" x14ac:dyDescent="0.3">
      <c r="U131" s="4"/>
    </row>
    <row r="132" spans="16:21" x14ac:dyDescent="0.3">
      <c r="U132" s="4"/>
    </row>
    <row r="133" spans="16:21" x14ac:dyDescent="0.3">
      <c r="U133" s="4"/>
    </row>
    <row r="147" spans="4:7" x14ac:dyDescent="0.3">
      <c r="D147" s="30"/>
      <c r="E147" s="30"/>
      <c r="F147" s="30"/>
    </row>
    <row r="159" spans="4:7" x14ac:dyDescent="0.3">
      <c r="G159" s="8"/>
    </row>
    <row r="161" spans="7:7" x14ac:dyDescent="0.3">
      <c r="G161" s="9"/>
    </row>
    <row r="164" spans="7:7" x14ac:dyDescent="0.3">
      <c r="G164" s="9"/>
    </row>
    <row r="168" spans="7:7" x14ac:dyDescent="0.3">
      <c r="G168" s="5"/>
    </row>
    <row r="170" spans="7:7" x14ac:dyDescent="0.3">
      <c r="G170" s="8"/>
    </row>
    <row r="171" spans="7:7" x14ac:dyDescent="0.3">
      <c r="G171" s="5"/>
    </row>
    <row r="218" spans="10:11" x14ac:dyDescent="0.3">
      <c r="J218" s="3"/>
      <c r="K218" s="3"/>
    </row>
    <row r="219" spans="10:11" x14ac:dyDescent="0.3">
      <c r="J219" s="3"/>
      <c r="K219" s="3"/>
    </row>
    <row r="220" spans="10:11" x14ac:dyDescent="0.3">
      <c r="J220" s="3"/>
      <c r="K220" s="3"/>
    </row>
    <row r="221" spans="10:11" x14ac:dyDescent="0.3">
      <c r="J221" s="3"/>
      <c r="K221" s="3"/>
    </row>
  </sheetData>
  <mergeCells count="6">
    <mergeCell ref="U112:U113"/>
    <mergeCell ref="O6:Q8"/>
    <mergeCell ref="R6:R8"/>
    <mergeCell ref="O9:Q11"/>
    <mergeCell ref="R9:R11"/>
    <mergeCell ref="O16:Q27"/>
  </mergeCells>
  <phoneticPr fontId="1" type="noConversion"/>
  <conditionalFormatting sqref="O6:Q8">
    <cfRule type="expression" dxfId="0" priority="1">
      <formula>$O$6&gt;$O$9</formula>
    </cfRule>
  </conditionalFormatting>
  <hyperlinks>
    <hyperlink ref="G21" r:id="rId1"/>
    <hyperlink ref="G19" r:id="rId2"/>
    <hyperlink ref="G27" r:id="rId3"/>
    <hyperlink ref="G7" r:id="rId4"/>
    <hyperlink ref="G6" r:id="rId5"/>
    <hyperlink ref="G4" r:id="rId6"/>
    <hyperlink ref="G9" r:id="rId7"/>
    <hyperlink ref="G12" r:id="rId8"/>
    <hyperlink ref="G13" r:id="rId9"/>
    <hyperlink ref="G26" r:id="rId10"/>
    <hyperlink ref="G42" r:id="rId11"/>
    <hyperlink ref="G44" r:id="rId12"/>
    <hyperlink ref="G37" r:id="rId13" display="https://www.11st.co.kr/products/2475047432?NaPm=ct=l75roit4|ci=f932db0520310e3065b7ae57756678b3c8c51ea6|tr=slct|sn=17703|hk=cb1d047cef103bcc1c7613dbf667e2ce9bfb09c4&amp;utm_term=&amp;utm_campaign=%B3%D7%C0%CC%B9%F6pc_%B0%A1%B0%DD%BA%F1%B1%B3%B1%E2%BA%BB&amp;utm_source=%B3%D7%C0%CC%B9%F6_PC_PCS&amp;utm_medium=%B0%A1%B0%DD%BA%F1%B1%B3"/>
    <hyperlink ref="G38" r:id="rId14"/>
    <hyperlink ref="G40" r:id="rId15"/>
    <hyperlink ref="G43" r:id="rId16"/>
    <hyperlink ref="G49" r:id="rId17"/>
    <hyperlink ref="G45" r:id="rId18"/>
    <hyperlink ref="G46" r:id="rId19"/>
    <hyperlink ref="G50" r:id="rId20"/>
    <hyperlink ref="G51" r:id="rId21"/>
    <hyperlink ref="G48" r:id="rId22"/>
    <hyperlink ref="G47" r:id="rId23"/>
    <hyperlink ref="G31" r:id="rId24"/>
    <hyperlink ref="G33" r:id="rId25"/>
  </hyperlinks>
  <pageMargins left="0.7" right="0.7" top="0.75" bottom="0.75" header="0.3" footer="0.3"/>
  <pageSetup paperSize="9" orientation="portrait" r:id="rId2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2C716E698A2764697C0CF61E6A3DC42" ma:contentTypeVersion="2" ma:contentTypeDescription="새 문서를 만듭니다." ma:contentTypeScope="" ma:versionID="180b9b08667e3704833e91e6877f6d61">
  <xsd:schema xmlns:xsd="http://www.w3.org/2001/XMLSchema" xmlns:xs="http://www.w3.org/2001/XMLSchema" xmlns:p="http://schemas.microsoft.com/office/2006/metadata/properties" xmlns:ns3="ab52da2d-7d89-4e1d-b468-5e0b6cb3d9e8" targetNamespace="http://schemas.microsoft.com/office/2006/metadata/properties" ma:root="true" ma:fieldsID="4592e0e265ed53ff5dc749b4a11ee38f" ns3:_="">
    <xsd:import namespace="ab52da2d-7d89-4e1d-b468-5e0b6cb3d9e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2da2d-7d89-4e1d-b468-5e0b6cb3d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321056-232A-428B-A536-F71FEC21EC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981993-E101-415A-B4CF-0BA313EF29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2da2d-7d89-4e1d-b468-5e0b6cb3d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A31B78-1A2C-4912-BDCD-8E49FDB2A7DF}">
  <ds:schemaRefs>
    <ds:schemaRef ds:uri="ab52da2d-7d89-4e1d-b468-5e0b6cb3d9e8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원본</vt:lpstr>
      <vt:lpstr>10단위 올림표</vt:lpstr>
      <vt:lpstr>25년 가을 비교과 부품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곽병우</dc:creator>
  <cp:lastModifiedBy>user</cp:lastModifiedBy>
  <cp:lastPrinted>2024-09-27T08:34:04Z</cp:lastPrinted>
  <dcterms:created xsi:type="dcterms:W3CDTF">2022-08-22T02:47:16Z</dcterms:created>
  <dcterms:modified xsi:type="dcterms:W3CDTF">2026-07-13T05:26:37Z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0x010100E2C716E698A2764697C0CF61E6A3DC42</vt:lpwstr>
  </property>
</Properties>
</file>